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GUS\gestao_projetos\execucao_financeira\"/>
    </mc:Choice>
  </mc:AlternateContent>
  <xr:revisionPtr revIDLastSave="0" documentId="13_ncr:1_{A6B8B74D-83B1-4D6A-8BC2-E78A19858F43}" xr6:coauthVersionLast="47" xr6:coauthVersionMax="47" xr10:uidLastSave="{00000000-0000-0000-0000-000000000000}"/>
  <bookViews>
    <workbookView xWindow="-120" yWindow="-120" windowWidth="29040" windowHeight="15720" xr2:uid="{49823ED3-3B2F-469D-97DF-36A3ABB00E6B}"/>
  </bookViews>
  <sheets>
    <sheet name="extrato_bancario" sheetId="1" r:id="rId1"/>
    <sheet name="dinamic" sheetId="3" r:id="rId2"/>
  </sheets>
  <definedNames>
    <definedName name="_xlnm._FilterDatabase" localSheetId="0" hidden="1">extrato_bancario!$A$1:$J$84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2" i="1"/>
</calcChain>
</file>

<file path=xl/sharedStrings.xml><?xml version="1.0" encoding="utf-8"?>
<sst xmlns="http://schemas.openxmlformats.org/spreadsheetml/2006/main" count="511" uniqueCount="149">
  <si>
    <t>movimento</t>
  </si>
  <si>
    <t>credito</t>
  </si>
  <si>
    <t>tipo</t>
  </si>
  <si>
    <t>descricao</t>
  </si>
  <si>
    <t>valor</t>
  </si>
  <si>
    <t>rubrica</t>
  </si>
  <si>
    <t>data_lancamento</t>
  </si>
  <si>
    <t>data_pagamento</t>
  </si>
  <si>
    <t>documento</t>
  </si>
  <si>
    <t>30106/2026</t>
  </si>
  <si>
    <t>Entrada de Receita</t>
  </si>
  <si>
    <t>Fatura para LC Industria e Comercio de Frutas LTDA, 60.369.979/0001-00,  referente à parcela 01/04 conforme convênio 02/2026.</t>
  </si>
  <si>
    <t>Obrigações Tributárias e Contributivas</t>
  </si>
  <si>
    <t>Receita</t>
  </si>
  <si>
    <t>31467/2026</t>
  </si>
  <si>
    <t>Transferência entre Projetos</t>
  </si>
  <si>
    <t>debito</t>
  </si>
  <si>
    <t xml:space="preserve">Transferência do projeto "375 - IFAM 2026-006 - Bio Caroço (15334-6)" para "164 - FAEPI - RATEIOS E TRIBUTOS (12266-1)", referente a Documento de Arrecadação Municipal  DAM Mensal de JUNHO/2026- ISSQN-NFSe-n. 106. </t>
  </si>
  <si>
    <t>Transferência do projeto "375 - IFAM 2026-006 - Bio Caroço (15334-6)" para "164 - FAEPI - RATEIOS E TRIBUTOS (12266-1)", referente a Documento de Arrecadação Municipal  DAM Mensal de JUNHO/2026- ISSQN-NFSe-n. 98. Nota Fiscal em processo de cancelamento.</t>
  </si>
  <si>
    <t>32089/2026</t>
  </si>
  <si>
    <t xml:space="preserve"> Investimento</t>
  </si>
  <si>
    <t>38370/2026</t>
  </si>
  <si>
    <t>45088/2026</t>
  </si>
  <si>
    <t>47790/2026</t>
  </si>
  <si>
    <t>Rendimento de aplicação financeira ref. a Julho de 2026.</t>
  </si>
  <si>
    <t>Aplicação Financeira</t>
  </si>
  <si>
    <t>IRRF Pessoa Jurídica</t>
  </si>
  <si>
    <t>IOF</t>
  </si>
  <si>
    <t>Rendimento de aplicação financeira ref. a Agosto de 2026.</t>
  </si>
  <si>
    <t>IRRF Retenção Pessoa Jurídica: Rendimento de aplicação financeira ref. a Agosto de 2026.</t>
  </si>
  <si>
    <t>Rendimento de aplicação financeira ref. a Setembro de 2026. (PARCIAL)</t>
  </si>
  <si>
    <t>IRRF Retenção Pessoa Jurídica: Rendimento de aplicação financeira ref. a Setembro de 2026. (PARCIAL)</t>
  </si>
  <si>
    <t>Recursos Humanos - Bolsa</t>
  </si>
  <si>
    <t>32815/2026</t>
  </si>
  <si>
    <t>38605/2026</t>
  </si>
  <si>
    <t>45718/2026</t>
  </si>
  <si>
    <t>Pagamento de Bolsa Pesquisa</t>
  </si>
  <si>
    <t>Pagamento bolsa para Geziel Sena Colares, 83403876268, referente à parcela 01/08.</t>
  </si>
  <si>
    <t>Pagamento bolsa para Geziel Sena Colares, 83403876268, referente à parcela 02/08.</t>
  </si>
  <si>
    <t>Pagamento bolsa para Geziel Sena Colares, 83403876268, referente à parcela 03/08.</t>
  </si>
  <si>
    <t>Serviços Terceiros PJ</t>
  </si>
  <si>
    <t>Transferência do projeto "375 - IFAM 2026-006 - Bio Caroço (15334-6)" para "61 - IFAM USO COMP. - RATEIO (10960-6)", referente ao rateio do Serviço de Internet Banda Larga - OFÍCIO N 044/2026 POLO/INOVA/IFAM.</t>
  </si>
  <si>
    <t>Transferência do projeto "375 - IFAM 2026-006 - Bio Caroço (15334-6)" para "61 - IFAM USO COMP. - RATEIO (10960-6)", referente  ao rateio do Serviço de Internet Banda Larga - OFÍCIO N 044/2026 POLO/INOVA/IFAM.</t>
  </si>
  <si>
    <t>41280/2026</t>
  </si>
  <si>
    <t>47004/2026</t>
  </si>
  <si>
    <t>Tarifas Bancárias</t>
  </si>
  <si>
    <t>Pagamento de Despesa Administrativa e Financeira</t>
  </si>
  <si>
    <t>Pagamento de serviços bancários</t>
  </si>
  <si>
    <t>Tarifa bancária do projeto 375 - IFAM 2026-006 - Bio Caroço (15334-6) importada do arquivo de extrato para conciliação bancária.</t>
  </si>
  <si>
    <t>31352/2026</t>
  </si>
  <si>
    <t>38375/2026</t>
  </si>
  <si>
    <t>45087/2026</t>
  </si>
  <si>
    <t>47645/2026</t>
  </si>
  <si>
    <t>conta</t>
  </si>
  <si>
    <t>375 - IFAM 2026-006 - Bio Caroço (15334-6)</t>
  </si>
  <si>
    <t>376 - IFAM 2026-006 - Bio Caroço SEBRAE (15335-4)</t>
  </si>
  <si>
    <t>38377/2026</t>
  </si>
  <si>
    <t>45096/2026</t>
  </si>
  <si>
    <t>47799/2026</t>
  </si>
  <si>
    <t>IOF: Rendimento de aplicação financeira ref. a Agosto de 2026.</t>
  </si>
  <si>
    <t>Transferência do projeto "378 - IFAM 2026-007 - IFAM - SEBRAE MATRIZ 2026 (15.336-2)" para "376 - IFAM 2026-006 - Bio Caroço SEBRAE (15335-4)", referente a recurso previsto para a conta SEBRAE do projeto Bio Caroço.</t>
  </si>
  <si>
    <t>31353/2026</t>
  </si>
  <si>
    <t>32816/2026</t>
  </si>
  <si>
    <t>38606/2026</t>
  </si>
  <si>
    <t>38607/2026</t>
  </si>
  <si>
    <t>38608/2026</t>
  </si>
  <si>
    <t>38609/2026</t>
  </si>
  <si>
    <t>38610/2026</t>
  </si>
  <si>
    <t>38612/2026</t>
  </si>
  <si>
    <t>40212/2026</t>
  </si>
  <si>
    <t>40214/2026</t>
  </si>
  <si>
    <t>40216/2026</t>
  </si>
  <si>
    <t>40215/2026</t>
  </si>
  <si>
    <t>45272/2026</t>
  </si>
  <si>
    <t>45719/2026</t>
  </si>
  <si>
    <t>45720/2026</t>
  </si>
  <si>
    <t>45721/2026</t>
  </si>
  <si>
    <t>45722/2026</t>
  </si>
  <si>
    <t>45723/2026</t>
  </si>
  <si>
    <t>45724/2026</t>
  </si>
  <si>
    <t>45725/2026</t>
  </si>
  <si>
    <t>45940/2026</t>
  </si>
  <si>
    <t>46007/2026</t>
  </si>
  <si>
    <t>Pagamento bolsa para Wenndisson da Silva Souza, 00390179230, referente à parcela 01/09.</t>
  </si>
  <si>
    <t>Pagamento bolsa para Wenndisson da Silva Souza, 00390179230, referente à parcela 02/09.</t>
  </si>
  <si>
    <t>Pagamento bolsa para Gabriel Silveira Alencar, 00548625239, referente à parcela 01/09.</t>
  </si>
  <si>
    <t>Pagamento bolsa para Gabriel Silveira Alencar, 00548625239, referente à parcela 02/09.</t>
  </si>
  <si>
    <t>Pagamento bolsa para EDUARDO PALHARES JUNIOR, 36861809870, referente à parcela 01/09.</t>
  </si>
  <si>
    <t>Pgto. Bolsa para NOBUYUKI ANDRADE ASHIBE, 00209299274, ref. ao mês 06/2026, parcela 01/09.</t>
  </si>
  <si>
    <t>Pgto. Bolsa para Jose Mario Castro de Amaral, 07015698242, ref. ao mês 06/2026, parcela 01/09.</t>
  </si>
  <si>
    <t>Pgto. Bolsa para Bruno César Falcão, 04572634238, ref. ao mês 06/2026, parcela 01/09.</t>
  </si>
  <si>
    <t>Pgto. Bolsa para Gabriel Nogueira de Lima, 00686343239, ref. ao mês 06/2026, parcela 01/09.</t>
  </si>
  <si>
    <t>Pgto. Bolsa para NOBUYUKI ANDRADE ASHIBE, 00209299274, ref. ao mês 07/2026, parcela 02/09.</t>
  </si>
  <si>
    <t>Pgto. Bolsa para Jose Mario Castro de Amaral, 07015698242, ref. ao mês 07/2026, parcela 02/09.</t>
  </si>
  <si>
    <t>Pgto. Bolsa para Bruno César Falcão, 04572634238, ref. ao mês 07/2026, parcela 02/09.</t>
  </si>
  <si>
    <t>Pagamento bolsa para Liane de Oliveira Calais Sobreira, 66831555268, referente à parcela 01/09.</t>
  </si>
  <si>
    <t>Pagamento bolsa para RAFAEL FREIRE COUTO DA SILVA, 70386477418, referente à parcela 01/09.</t>
  </si>
  <si>
    <t>Pagamento bolsa para Sandro Haiden Teixeira , 04258764205, referente à parcela 01/09.</t>
  </si>
  <si>
    <t>Pagamento bolsa para Gabriel Clávila Soares, 52868826253, referente à parcela 01/09.</t>
  </si>
  <si>
    <t>Pagamento bolsa para Wenndisson da Silva Souza, 00390179230, referente à parcela 03/09.</t>
  </si>
  <si>
    <t>Pagamento bolsa para Gabriel Silveira Alencar, 00548625239, referente à parcela 03/09.</t>
  </si>
  <si>
    <t>Pagamento bolsa para NOBUYUKI ANDRADE ASHIBE, 00209299274, referente à parcela 03/09.</t>
  </si>
  <si>
    <t>Pagamento bolsa para Bruno César Falcão, 04572634238, referente à parcela 03/09.</t>
  </si>
  <si>
    <t>Pagamento bolsa para EDUARDO PALHARES JUNIOR, 36861809870, referente à parcela 02/09.</t>
  </si>
  <si>
    <t>Pagamento bolsa para EDUARDO PALHARES JUNIOR, 36861809870, referente à parcela 03/09.</t>
  </si>
  <si>
    <t>Pagamento bolsa para Gabriel Clávila Soares, 52868826253, referente à parcela 02/09.</t>
  </si>
  <si>
    <t>Pagamento bolsa para Sandro Haiden Teixeira , 04258764205, referente à parcela 02/09.</t>
  </si>
  <si>
    <t>Pagamento bolsa para RAFAEL FREIRE COUTO DA SILVA, 70386477418, referente à parcela 02/09.</t>
  </si>
  <si>
    <t>Pagamento bolsa para Liane de Oliveira Calais Sobreira, 66831555268, referente à parcela 02/09.</t>
  </si>
  <si>
    <t>Tarifa bancária do projeto 376 - IFAM 2026-006 - Bio Caroço SEBRAE (15335-4) importada do arquivo de extrato para conciliação bancária.</t>
  </si>
  <si>
    <t>38372/2026</t>
  </si>
  <si>
    <t>45091/2026</t>
  </si>
  <si>
    <t>45093/2026</t>
  </si>
  <si>
    <t>45095/2026</t>
  </si>
  <si>
    <t>47792/2026</t>
  </si>
  <si>
    <t>47794/2026</t>
  </si>
  <si>
    <t>47796/2026</t>
  </si>
  <si>
    <t>47798/2026</t>
  </si>
  <si>
    <t>377 - IFAM 2026-006 - Bio Caroço EMBRAPII (15338-9)</t>
  </si>
  <si>
    <t>Investimento</t>
  </si>
  <si>
    <t>30460/2026</t>
  </si>
  <si>
    <t>38384/2026</t>
  </si>
  <si>
    <t>45099/2026</t>
  </si>
  <si>
    <t>47809/2026</t>
  </si>
  <si>
    <t>Rendimento de aplicação financeira ref. a Junho de 2026.</t>
  </si>
  <si>
    <t>Transferência do projeto "147 - IFAM 2022-023 - EMBRAPII (12026-X)" para "377 - IFAM 2026-006 - Bio Caroço EMBRAPII (15338-9)", referente a Transferência de valores das contas EMBRAPII para a conta do respectivo projeto.</t>
  </si>
  <si>
    <t>25579/2026</t>
  </si>
  <si>
    <t>Pagamento bolsa para Gabriel Nogueira de Lima, 00686343239, referente à parcela 02/09.</t>
  </si>
  <si>
    <t>Pagamento bolsa para Cairo José Nascimento Carneiro, 70513691219, referente à parcela 01/08.</t>
  </si>
  <si>
    <t>Pagamento bolsa para Jose Mario Castro de Amaral, 07015698242, referente à parcela 03/09.</t>
  </si>
  <si>
    <t>Pagamento bolsa para Gabriel Nogueira de Lima, 00686343239, referente à parcela 03/09.</t>
  </si>
  <si>
    <t>Pagamento bolsa para Cairo José Nascimento Carneiro, 70513691219, referente à parcela 02/08.</t>
  </si>
  <si>
    <t>38613/2026</t>
  </si>
  <si>
    <t>40217/2026</t>
  </si>
  <si>
    <t>45726/2026</t>
  </si>
  <si>
    <t>45727/2026</t>
  </si>
  <si>
    <t>45942/2026</t>
  </si>
  <si>
    <t>Tarifa bancária do projeto 377 - IFAM 2026-006 - Bio Caroço EMBRAPII (15338-9) importada do arquivo de extrato para conciliação bancária.</t>
  </si>
  <si>
    <t>38390/2026</t>
  </si>
  <si>
    <t>39731/2026</t>
  </si>
  <si>
    <t>39733/2026</t>
  </si>
  <si>
    <t>45098/2026</t>
  </si>
  <si>
    <t>47802/2026</t>
  </si>
  <si>
    <t>47804/2026</t>
  </si>
  <si>
    <t>47806/2026</t>
  </si>
  <si>
    <t>Rótulos de Linha</t>
  </si>
  <si>
    <t>Soma de valor</t>
  </si>
  <si>
    <t>Total Geral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</si>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</sst>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mmm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49" fontId="0" fillId="0" borderId="2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iel Sena Colares" refreshedDate="46300.787720023145" createdVersion="8" refreshedVersion="8" minRefreshableVersion="3" recordCount="83" xr:uid="{E0321F54-65D1-498E-93A9-FB7E7421AB9F}">
  <cacheSource type="worksheet">
    <worksheetSource ref="A1:J84" sheet="extrato_bancario"/>
  </cacheSource>
  <cacheFields count="9">
    <cacheField name="data_lancamento" numFmtId="14">
      <sharedItems containsNonDate="0" containsDate="1" containsMixedTypes="1" minDate="2026-06-16T00:00:00" maxDate="2026-09-22T00:00:00" count="46">
        <d v="2026-07-07T00:00:00"/>
        <d v="2026-07-10T00:00:00"/>
        <d v="2026-07-31T00:00:00"/>
        <d v="2026-08-31T00:00:00"/>
        <d v="2026-09-21T00:00:00"/>
        <d v="2026-07-16T00:00:00"/>
        <d v="2026-08-05T00:00:00"/>
        <d v="2026-09-08T00:00:00"/>
        <d v="2026-08-20T00:00:00"/>
        <d v="2026-09-16T00:00:00"/>
        <d v="2026-07-02T00:00:00"/>
        <d v="2026-08-04T00:00:00"/>
        <d v="2026-09-02T00:00:00"/>
        <d v="2026-08-17T00:00:00"/>
        <d v="2026-09-03T00:00:00"/>
        <d v="2026-09-09T00:00:00"/>
        <d v="2026-07-17T00:00:00"/>
        <d v="2026-08-18T00:00:00"/>
        <d v="2026-08-06T00:00:00"/>
        <d v="2026-09-04T00:00:00"/>
        <d v="2026-09-11T00:00:00"/>
        <d v="2026-06-30T00:00:00"/>
        <d v="2026-06-16T00:00:00"/>
        <s v="31/07/2026" u="1"/>
        <s v="31/08/2026" u="1"/>
        <s v="21/09/2026" u="1"/>
        <s v="16/07/2026" u="1"/>
        <s v="05/08/2026" u="1"/>
        <s v="08/09/2026" u="1"/>
        <s v="20/08/2026" u="1"/>
        <s v="16/09/2026" u="1"/>
        <s v="02/07/2026" u="1"/>
        <s v="10/07/2026" u="1"/>
        <s v="04/08/2026" u="1"/>
        <s v="02/09/2026" u="1"/>
        <s v="07/07/2026" u="1"/>
        <s v="17/08/2026" u="1"/>
        <s v="03/09/2026" u="1"/>
        <s v="09/09/2026" u="1"/>
        <s v="17/07/2026" u="1"/>
        <s v="18/08/2026" u="1"/>
        <s v="06/08/2026" u="1"/>
        <s v="04/09/2026" u="1"/>
        <s v="11/09/2026" u="1"/>
        <s v="30/06/2026" u="1"/>
        <s v="16/06/2026" u="1"/>
      </sharedItems>
    </cacheField>
    <cacheField name="data_pagamento" numFmtId="14">
      <sharedItems containsSemiMixedTypes="0" containsNonDate="0" containsDate="1" containsString="0" minDate="2026-06-17T00:00:00" maxDate="2026-09-22T00:00:00"/>
    </cacheField>
    <cacheField name="conta" numFmtId="49">
      <sharedItems/>
    </cacheField>
    <cacheField name="rubrica" numFmtId="49">
      <sharedItems/>
    </cacheField>
    <cacheField name="documento" numFmtId="49">
      <sharedItems/>
    </cacheField>
    <cacheField name="movimento" numFmtId="49">
      <sharedItems/>
    </cacheField>
    <cacheField name="tipo" numFmtId="49">
      <sharedItems/>
    </cacheField>
    <cacheField name="descricao" numFmtId="49">
      <sharedItems/>
    </cacheField>
    <cacheField name="valor" numFmtId="44">
      <sharedItems containsSemiMixedTypes="0" containsString="0" containsNumber="1" minValue="-12000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d v="2026-07-01T00:00:00"/>
    <s v="375 - IFAM 2026-006 - Bio Caroço (15334-6)"/>
    <s v="Receita"/>
    <s v="30106/2026"/>
    <s v="credito"/>
    <s v="Entrada de Receita"/>
    <s v="Fatura para LC Industria e Comercio de Frutas LTDA, 60.369.979/0001-00,  referente à parcela 01/04 conforme convênio 02/2026."/>
    <n v="27500"/>
  </r>
  <r>
    <x v="0"/>
    <d v="2026-07-08T00:00:00"/>
    <s v="375 - IFAM 2026-006 - Bio Caroço (15334-6)"/>
    <s v="Obrigações Tributárias e Contributivas"/>
    <s v="31467/2026"/>
    <s v="debito"/>
    <s v="Transferência entre Projetos"/>
    <s v="Transferência do projeto &quot;375 - IFAM 2026-006 - Bio Caroço (15334-6)&quot; para &quot;164 - FAEPI - RATEIOS E TRIBUTOS (12266-1)&quot;, referente a Documento de Arrecadação Municipal  DAM Mensal de JUNHO/2026- ISSQN-NFSe-n. 106. "/>
    <n v="-1375"/>
  </r>
  <r>
    <x v="1"/>
    <d v="2026-07-10T00:00:00"/>
    <s v="375 - IFAM 2026-006 - Bio Caroço (15334-6)"/>
    <s v="Obrigações Tributárias e Contributivas"/>
    <s v="32089/2026"/>
    <s v="debito"/>
    <s v="Transferência entre Projetos"/>
    <s v="Transferência do projeto &quot;375 - IFAM 2026-006 - Bio Caroço (15334-6)&quot; para &quot;164 - FAEPI - RATEIOS E TRIBUTOS (12266-1)&quot;, referente a Documento de Arrecadação Municipal  DAM Mensal de JUNHO/2026- ISSQN-NFSe-n. 98. Nota Fiscal em processo de cancelamento."/>
    <n v="-2750"/>
  </r>
  <r>
    <x v="2"/>
    <d v="2026-07-31T00:00:00"/>
    <s v="375 - IFAM 2026-006 - Bio Caroço (15334-6)"/>
    <s v=" Investimento"/>
    <s v="38370/2026"/>
    <s v="credito"/>
    <s v="Aplicação Financeira"/>
    <s v="Rendimento de aplicação financeira ref. a Julho de 2026."/>
    <n v="184.68"/>
  </r>
  <r>
    <x v="2"/>
    <d v="2026-07-31T00:00:00"/>
    <s v="375 - IFAM 2026-006 - Bio Caroço (15334-6)"/>
    <s v=" Investimento"/>
    <s v="38370/2026"/>
    <s v="debito"/>
    <s v="IRRF Pessoa Jurídica"/>
    <s v="Rendimento de aplicação financeira ref. a Julho de 2026."/>
    <n v="-1.34"/>
  </r>
  <r>
    <x v="2"/>
    <d v="2026-07-31T00:00:00"/>
    <s v="375 - IFAM 2026-006 - Bio Caroço (15334-6)"/>
    <s v=" Investimento"/>
    <s v="38370/2026"/>
    <s v="debito"/>
    <s v="IOF"/>
    <s v="Rendimento de aplicação financeira ref. a Julho de 2026."/>
    <n v="-10.92"/>
  </r>
  <r>
    <x v="3"/>
    <d v="2026-08-31T00:00:00"/>
    <s v="375 - IFAM 2026-006 - Bio Caroço (15334-6)"/>
    <s v=" Investimento"/>
    <s v="45088/2026"/>
    <s v="credito"/>
    <s v="Aplicação Financeira"/>
    <s v="Rendimento de aplicação financeira ref. a Agosto de 2026."/>
    <n v="154.41"/>
  </r>
  <r>
    <x v="3"/>
    <d v="2026-08-31T00:00:00"/>
    <s v="375 - IFAM 2026-006 - Bio Caroço (15334-6)"/>
    <s v=" Investimento"/>
    <s v="45088/2026"/>
    <s v="debito"/>
    <s v="IRRF Pessoa Jurídica"/>
    <s v="IRRF Retenção Pessoa Jurídica: Rendimento de aplicação financeira ref. a Agosto de 2026."/>
    <n v="-6.32"/>
  </r>
  <r>
    <x v="4"/>
    <d v="2026-09-21T00:00:00"/>
    <s v="375 - IFAM 2026-006 - Bio Caroço (15334-6)"/>
    <s v=" Investimento"/>
    <s v="47790/2026"/>
    <s v="credito"/>
    <s v="Aplicação Financeira"/>
    <s v="Rendimento de aplicação financeira ref. a Setembro de 2026. (PARCIAL)"/>
    <n v="88.34"/>
  </r>
  <r>
    <x v="4"/>
    <d v="2026-09-21T00:00:00"/>
    <s v="375 - IFAM 2026-006 - Bio Caroço (15334-6)"/>
    <s v=" Investimento"/>
    <s v="47790/2026"/>
    <s v="debito"/>
    <s v="IRRF Pessoa Jurídica"/>
    <s v="IRRF Retenção Pessoa Jurídica: Rendimento de aplicação financeira ref. a Setembro de 2026. (PARCIAL)"/>
    <n v="-12.34"/>
  </r>
  <r>
    <x v="5"/>
    <d v="2026-07-17T00:00:00"/>
    <s v="375 - IFAM 2026-006 - Bio Caroço (15334-6)"/>
    <s v="Recursos Humanos - Bolsa"/>
    <s v="32815/2026"/>
    <s v="debito"/>
    <s v="Pagamento de Bolsa Pesquisa"/>
    <s v="Pagamento bolsa para Geziel Sena Colares, 83403876268, referente à parcela 01/08."/>
    <n v="-2800"/>
  </r>
  <r>
    <x v="6"/>
    <d v="2026-08-06T00:00:00"/>
    <s v="375 - IFAM 2026-006 - Bio Caroço (15334-6)"/>
    <s v="Recursos Humanos - Bolsa"/>
    <s v="38605/2026"/>
    <s v="debito"/>
    <s v="Pagamento de Bolsa Pesquisa"/>
    <s v="Pagamento bolsa para Geziel Sena Colares, 83403876268, referente à parcela 02/08."/>
    <n v="-2800"/>
  </r>
  <r>
    <x v="7"/>
    <d v="2026-09-09T00:00:00"/>
    <s v="375 - IFAM 2026-006 - Bio Caroço (15334-6)"/>
    <s v="Recursos Humanos - Bolsa"/>
    <s v="45718/2026"/>
    <s v="debito"/>
    <s v="Pagamento de Bolsa Pesquisa"/>
    <s v="Pagamento bolsa para Geziel Sena Colares, 83403876268, referente à parcela 03/08."/>
    <n v="-2800"/>
  </r>
  <r>
    <x v="8"/>
    <d v="2026-08-21T00:00:00"/>
    <s v="375 - IFAM 2026-006 - Bio Caroço (15334-6)"/>
    <s v="Serviços Terceiros PJ"/>
    <s v="41280/2026"/>
    <s v="debito"/>
    <s v="Transferência entre Projetos"/>
    <s v="Transferência do projeto &quot;375 - IFAM 2026-006 - Bio Caroço (15334-6)&quot; para &quot;61 - IFAM USO COMP. - RATEIO (10960-6)&quot;, referente ao rateio do Serviço de Internet Banda Larga - OFÍCIO N 044/2026 POLO/INOVA/IFAM."/>
    <n v="-128.58000000000001"/>
  </r>
  <r>
    <x v="9"/>
    <d v="2026-09-17T00:00:00"/>
    <s v="375 - IFAM 2026-006 - Bio Caroço (15334-6)"/>
    <s v="Serviços Terceiros PJ"/>
    <s v="47004/2026"/>
    <s v="debito"/>
    <s v="Transferência entre Projetos"/>
    <s v="Transferência do projeto &quot;375 - IFAM 2026-006 - Bio Caroço (15334-6)&quot; para &quot;61 - IFAM USO COMP. - RATEIO (10960-6)&quot;, referente  ao rateio do Serviço de Internet Banda Larga - OFÍCIO N 044/2026 POLO/INOVA/IFAM."/>
    <n v="-128.57"/>
  </r>
  <r>
    <x v="10"/>
    <d v="2026-07-02T00:00:00"/>
    <s v="375 - IFAM 2026-006 - Bio Caroço (15334-6)"/>
    <s v="Tarifas Bancárias"/>
    <s v="31352/2026"/>
    <s v="debito"/>
    <s v="Pagamento de Despesa Administrativa e Financeira"/>
    <s v="Pagamento de serviços bancários"/>
    <n v="-34.5"/>
  </r>
  <r>
    <x v="1"/>
    <d v="2026-07-10T00:00:00"/>
    <s v="375 - IFAM 2026-006 - Bio Caroço (15334-6)"/>
    <s v="Tarifas Bancárias"/>
    <s v="38375/2026"/>
    <s v="debito"/>
    <s v="Pagamento de Despesa Administrativa e Financeira"/>
    <s v="Pagamento de serviços bancários"/>
    <n v="-1.7"/>
  </r>
  <r>
    <x v="11"/>
    <d v="2026-08-04T00:00:00"/>
    <s v="375 - IFAM 2026-006 - Bio Caroço (15334-6)"/>
    <s v="Tarifas Bancárias"/>
    <s v="45087/2026"/>
    <s v="debito"/>
    <s v="Pagamento de Despesa Administrativa e Financeira"/>
    <s v="Tarifa bancária do projeto 375 - IFAM 2026-006 - Bio Caroço (15334-6) importada do arquivo de extrato para conciliação bancária."/>
    <n v="-34.5"/>
  </r>
  <r>
    <x v="12"/>
    <d v="2026-09-02T00:00:00"/>
    <s v="375 - IFAM 2026-006 - Bio Caroço (15334-6)"/>
    <s v="Tarifas Bancárias"/>
    <s v="47645/2026"/>
    <s v="debito"/>
    <s v="Pagamento de Despesa Administrativa e Financeira"/>
    <s v="Tarifa bancária do projeto 375 - IFAM 2026-006 - Bio Caroço (15334-6) importada do arquivo de extrato para conciliação bancária."/>
    <n v="-34.5"/>
  </r>
  <r>
    <x v="2"/>
    <d v="2026-07-31T00:00:00"/>
    <s v="376 - IFAM 2026-006 - Bio Caroço SEBRAE (15335-4)"/>
    <s v=" Investimento"/>
    <s v="38377/2026"/>
    <s v="credito"/>
    <s v="Aplicação Financeira"/>
    <s v="Rendimento de aplicação financeira ref. a Julho de 2026."/>
    <n v="986.69"/>
  </r>
  <r>
    <x v="2"/>
    <d v="2026-07-31T00:00:00"/>
    <s v="376 - IFAM 2026-006 - Bio Caroço SEBRAE (15335-4)"/>
    <s v=" Investimento"/>
    <s v="38377/2026"/>
    <s v="debito"/>
    <s v="IRRF Pessoa Jurídica"/>
    <s v="Rendimento de aplicação financeira ref. a Julho de 2026."/>
    <n v="-1.77"/>
  </r>
  <r>
    <x v="2"/>
    <d v="2026-07-31T00:00:00"/>
    <s v="376 - IFAM 2026-006 - Bio Caroço SEBRAE (15335-4)"/>
    <s v=" Investimento"/>
    <s v="38377/2026"/>
    <s v="debito"/>
    <s v="IOF"/>
    <s v="Rendimento de aplicação financeira ref. a Julho de 2026."/>
    <n v="-21.31"/>
  </r>
  <r>
    <x v="3"/>
    <d v="2026-08-31T00:00:00"/>
    <s v="376 - IFAM 2026-006 - Bio Caroço SEBRAE (15335-4)"/>
    <s v=" Investimento"/>
    <s v="45096/2026"/>
    <s v="credito"/>
    <s v="Aplicação Financeira"/>
    <s v="Rendimento de aplicação financeira ref. a Agosto de 2026."/>
    <n v="795.84"/>
  </r>
  <r>
    <x v="3"/>
    <d v="2026-08-31T00:00:00"/>
    <s v="376 - IFAM 2026-006 - Bio Caroço SEBRAE (15335-4)"/>
    <s v=" Investimento"/>
    <s v="45096/2026"/>
    <s v="debito"/>
    <s v="IRRF Pessoa Jurídica"/>
    <s v="IRRF Retenção Pessoa Jurídica: Rendimento de aplicação financeira ref. a Agosto de 2026."/>
    <n v="-117.23"/>
  </r>
  <r>
    <x v="3"/>
    <d v="2026-08-31T00:00:00"/>
    <s v="376 - IFAM 2026-006 - Bio Caroço SEBRAE (15335-4)"/>
    <s v=" Investimento"/>
    <s v="45096/2026"/>
    <s v="debito"/>
    <s v="IOF"/>
    <s v="IOF: Rendimento de aplicação financeira ref. a Agosto de 2026."/>
    <n v="-20.95"/>
  </r>
  <r>
    <x v="4"/>
    <d v="2026-09-21T00:00:00"/>
    <s v="376 - IFAM 2026-006 - Bio Caroço SEBRAE (15335-4)"/>
    <s v=" Investimento"/>
    <s v="47799/2026"/>
    <s v="credito"/>
    <s v="Aplicação Financeira"/>
    <s v="Rendimento de aplicação financeira ref. a Setembro de 2026. (PARCIAL)"/>
    <n v="249.61"/>
  </r>
  <r>
    <x v="4"/>
    <d v="2026-09-21T00:00:00"/>
    <s v="376 - IFAM 2026-006 - Bio Caroço SEBRAE (15335-4)"/>
    <s v=" Investimento"/>
    <s v="47799/2026"/>
    <s v="debito"/>
    <s v="IRRF Pessoa Jurídica"/>
    <s v="IRRF Retenção Pessoa Jurídica: Rendimento de aplicação financeira ref. a Setembro de 2026. (PARCIAL)"/>
    <n v="-200.93"/>
  </r>
  <r>
    <x v="0"/>
    <d v="2026-07-08T00:00:00"/>
    <s v="376 - IFAM 2026-006 - Bio Caroço SEBRAE (15335-4)"/>
    <s v="Receita"/>
    <s v="31353/2026"/>
    <s v="credito"/>
    <s v="Transferência entre Projetos"/>
    <s v="Transferência do projeto &quot;378 - IFAM 2026-007 - IFAM - SEBRAE MATRIZ 2026 (15.336-2)&quot; para &quot;376 - IFAM 2026-006 - Bio Caroço SEBRAE (15335-4)&quot;, referente a recurso previsto para a conta SEBRAE do projeto Bio Caroço."/>
    <n v="150000"/>
  </r>
  <r>
    <x v="5"/>
    <d v="2026-07-17T00:00:00"/>
    <s v="376 - IFAM 2026-006 - Bio Caroço SEBRAE (15335-4)"/>
    <s v="Recursos Humanos - Bolsa"/>
    <s v="32816/2026"/>
    <s v="debito"/>
    <s v="Pagamento de Bolsa Pesquisa"/>
    <s v="Pagamento bolsa para Wenndisson da Silva Souza, 00390179230, referente à parcela 01/09."/>
    <n v="-12000"/>
  </r>
  <r>
    <x v="6"/>
    <d v="2026-08-06T00:00:00"/>
    <s v="376 - IFAM 2026-006 - Bio Caroço SEBRAE (15335-4)"/>
    <s v="Recursos Humanos - Bolsa"/>
    <s v="38606/2026"/>
    <s v="debito"/>
    <s v="Pagamento de Bolsa Pesquisa"/>
    <s v="Pagamento bolsa para Wenndisson da Silva Souza, 00390179230, referente à parcela 02/09."/>
    <n v="-12000"/>
  </r>
  <r>
    <x v="6"/>
    <d v="2026-08-06T00:00:00"/>
    <s v="376 - IFAM 2026-006 - Bio Caroço SEBRAE (15335-4)"/>
    <s v="Recursos Humanos - Bolsa"/>
    <s v="38607/2026"/>
    <s v="debito"/>
    <s v="Pagamento de Bolsa Pesquisa"/>
    <s v="Pagamento bolsa para Gabriel Silveira Alencar, 00548625239, referente à parcela 01/09."/>
    <n v="-5000"/>
  </r>
  <r>
    <x v="6"/>
    <d v="2026-08-06T00:00:00"/>
    <s v="376 - IFAM 2026-006 - Bio Caroço SEBRAE (15335-4)"/>
    <s v="Recursos Humanos - Bolsa"/>
    <s v="38608/2026"/>
    <s v="debito"/>
    <s v="Pagamento de Bolsa Pesquisa"/>
    <s v="Pagamento bolsa para Gabriel Silveira Alencar, 00548625239, referente à parcela 02/09."/>
    <n v="-5000"/>
  </r>
  <r>
    <x v="6"/>
    <d v="2026-08-06T00:00:00"/>
    <s v="376 - IFAM 2026-006 - Bio Caroço SEBRAE (15335-4)"/>
    <s v="Recursos Humanos - Bolsa"/>
    <s v="38609/2026"/>
    <s v="debito"/>
    <s v="Pagamento de Bolsa Pesquisa"/>
    <s v="Pagamento bolsa para EDUARDO PALHARES JUNIOR, 36861809870, referente à parcela 01/09."/>
    <n v="-7000"/>
  </r>
  <r>
    <x v="6"/>
    <d v="2026-08-06T00:00:00"/>
    <s v="376 - IFAM 2026-006 - Bio Caroço SEBRAE (15335-4)"/>
    <s v="Recursos Humanos - Bolsa"/>
    <s v="38610/2026"/>
    <s v="debito"/>
    <s v="Pagamento de Bolsa Pesquisa"/>
    <s v="Pgto. Bolsa para NOBUYUKI ANDRADE ASHIBE, 00209299274, ref. ao mês 06/2026, parcela 01/09."/>
    <n v="-2000"/>
  </r>
  <r>
    <x v="6"/>
    <d v="2026-08-06T00:00:00"/>
    <s v="376 - IFAM 2026-006 - Bio Caroço SEBRAE (15335-4)"/>
    <s v="Recursos Humanos - Bolsa"/>
    <s v="38610/2026"/>
    <s v="debito"/>
    <s v="Pagamento de Bolsa Pesquisa"/>
    <s v="Pgto. Bolsa para Jose Mario Castro de Amaral, 07015698242, ref. ao mês 06/2026, parcela 01/09."/>
    <n v="-2000"/>
  </r>
  <r>
    <x v="6"/>
    <d v="2026-08-06T00:00:00"/>
    <s v="376 - IFAM 2026-006 - Bio Caroço SEBRAE (15335-4)"/>
    <s v="Recursos Humanos - Bolsa"/>
    <s v="38610/2026"/>
    <s v="debito"/>
    <s v="Pagamento de Bolsa Pesquisa"/>
    <s v="Pgto. Bolsa para Bruno César Falcão, 04572634238, ref. ao mês 06/2026, parcela 01/09."/>
    <n v="-2000"/>
  </r>
  <r>
    <x v="6"/>
    <d v="2026-08-06T00:00:00"/>
    <s v="376 - IFAM 2026-006 - Bio Caroço SEBRAE (15335-4)"/>
    <s v="Recursos Humanos - Bolsa"/>
    <s v="38610/2026"/>
    <s v="debito"/>
    <s v="Pagamento de Bolsa Pesquisa"/>
    <s v="Pgto. Bolsa para Gabriel Nogueira de Lima, 00686343239, ref. ao mês 06/2026, parcela 01/09."/>
    <n v="-2000"/>
  </r>
  <r>
    <x v="6"/>
    <d v="2026-08-06T00:00:00"/>
    <s v="376 - IFAM 2026-006 - Bio Caroço SEBRAE (15335-4)"/>
    <s v="Recursos Humanos - Bolsa"/>
    <s v="38612/2026"/>
    <s v="debito"/>
    <s v="Pagamento de Bolsa Pesquisa"/>
    <s v="Pgto. Bolsa para NOBUYUKI ANDRADE ASHIBE, 00209299274, ref. ao mês 07/2026, parcela 02/09."/>
    <n v="-2000"/>
  </r>
  <r>
    <x v="6"/>
    <d v="2026-08-06T00:00:00"/>
    <s v="376 - IFAM 2026-006 - Bio Caroço SEBRAE (15335-4)"/>
    <s v="Recursos Humanos - Bolsa"/>
    <s v="38612/2026"/>
    <s v="debito"/>
    <s v="Pagamento de Bolsa Pesquisa"/>
    <s v="Pgto. Bolsa para Jose Mario Castro de Amaral, 07015698242, ref. ao mês 07/2026, parcela 02/09."/>
    <n v="-2000"/>
  </r>
  <r>
    <x v="6"/>
    <d v="2026-08-06T00:00:00"/>
    <s v="376 - IFAM 2026-006 - Bio Caroço SEBRAE (15335-4)"/>
    <s v="Recursos Humanos - Bolsa"/>
    <s v="38612/2026"/>
    <s v="debito"/>
    <s v="Pagamento de Bolsa Pesquisa"/>
    <s v="Pgto. Bolsa para Bruno César Falcão, 04572634238, ref. ao mês 07/2026, parcela 02/09."/>
    <n v="-2000"/>
  </r>
  <r>
    <x v="13"/>
    <d v="2026-08-18T00:00:00"/>
    <s v="376 - IFAM 2026-006 - Bio Caroço SEBRAE (15335-4)"/>
    <s v="Recursos Humanos - Bolsa"/>
    <s v="40212/2026"/>
    <s v="debito"/>
    <s v="Pagamento de Bolsa Pesquisa"/>
    <s v="Pagamento bolsa para Liane de Oliveira Calais Sobreira, 66831555268, referente à parcela 01/09."/>
    <n v="-5000"/>
  </r>
  <r>
    <x v="13"/>
    <d v="2026-08-18T00:00:00"/>
    <s v="376 - IFAM 2026-006 - Bio Caroço SEBRAE (15335-4)"/>
    <s v="Recursos Humanos - Bolsa"/>
    <s v="40214/2026"/>
    <s v="debito"/>
    <s v="Pagamento de Bolsa Pesquisa"/>
    <s v="Pagamento bolsa para RAFAEL FREIRE COUTO DA SILVA, 70386477418, referente à parcela 01/09."/>
    <n v="-2000"/>
  </r>
  <r>
    <x v="13"/>
    <d v="2026-08-18T00:00:00"/>
    <s v="376 - IFAM 2026-006 - Bio Caroço SEBRAE (15335-4)"/>
    <s v="Recursos Humanos - Bolsa"/>
    <s v="40216/2026"/>
    <s v="debito"/>
    <s v="Pagamento de Bolsa Pesquisa"/>
    <s v="Pagamento bolsa para Sandro Haiden Teixeira , 04258764205, referente à parcela 01/09."/>
    <n v="-5000"/>
  </r>
  <r>
    <x v="13"/>
    <d v="2026-08-18T00:00:00"/>
    <s v="376 - IFAM 2026-006 - Bio Caroço SEBRAE (15335-4)"/>
    <s v="Recursos Humanos - Bolsa"/>
    <s v="40215/2026"/>
    <s v="debito"/>
    <s v="Pagamento de Bolsa Pesquisa"/>
    <s v="Pagamento bolsa para Gabriel Clávila Soares, 52868826253, referente à parcela 01/09."/>
    <n v="-5000"/>
  </r>
  <r>
    <x v="14"/>
    <d v="2026-09-04T00:00:00"/>
    <s v="376 - IFAM 2026-006 - Bio Caroço SEBRAE (15335-4)"/>
    <s v="Recursos Humanos - Bolsa"/>
    <s v="45272/2026"/>
    <s v="debito"/>
    <s v="Pagamento de Bolsa Pesquisa"/>
    <s v="Pagamento bolsa para Wenndisson da Silva Souza, 00390179230, referente à parcela 03/09."/>
    <n v="-12000"/>
  </r>
  <r>
    <x v="7"/>
    <d v="2026-09-09T00:00:00"/>
    <s v="376 - IFAM 2026-006 - Bio Caroço SEBRAE (15335-4)"/>
    <s v="Recursos Humanos - Bolsa"/>
    <s v="45719/2026"/>
    <s v="debito"/>
    <s v="Pagamento de Bolsa Pesquisa"/>
    <s v="Pagamento bolsa para Gabriel Silveira Alencar, 00548625239, referente à parcela 03/09."/>
    <n v="-5000"/>
  </r>
  <r>
    <x v="7"/>
    <d v="2026-09-09T00:00:00"/>
    <s v="376 - IFAM 2026-006 - Bio Caroço SEBRAE (15335-4)"/>
    <s v="Recursos Humanos - Bolsa"/>
    <s v="45720/2026"/>
    <s v="debito"/>
    <s v="Pagamento de Bolsa Pesquisa"/>
    <s v="Pagamento bolsa para NOBUYUKI ANDRADE ASHIBE, 00209299274, referente à parcela 03/09."/>
    <n v="-2000"/>
  </r>
  <r>
    <x v="7"/>
    <d v="2026-09-09T00:00:00"/>
    <s v="376 - IFAM 2026-006 - Bio Caroço SEBRAE (15335-4)"/>
    <s v="Recursos Humanos - Bolsa"/>
    <s v="45721/2026"/>
    <s v="debito"/>
    <s v="Pagamento de Bolsa Pesquisa"/>
    <s v="Pagamento bolsa para Bruno César Falcão, 04572634238, referente à parcela 03/09."/>
    <n v="-2000"/>
  </r>
  <r>
    <x v="7"/>
    <d v="2026-09-09T00:00:00"/>
    <s v="376 - IFAM 2026-006 - Bio Caroço SEBRAE (15335-4)"/>
    <s v="Recursos Humanos - Bolsa"/>
    <s v="45722/2026"/>
    <s v="debito"/>
    <s v="Pagamento de Bolsa Pesquisa"/>
    <s v="Pagamento bolsa para EDUARDO PALHARES JUNIOR, 36861809870, referente à parcela 02/09."/>
    <n v="-7000"/>
  </r>
  <r>
    <x v="7"/>
    <d v="2026-09-09T00:00:00"/>
    <s v="376 - IFAM 2026-006 - Bio Caroço SEBRAE (15335-4)"/>
    <s v="Recursos Humanos - Bolsa"/>
    <s v="45723/2026"/>
    <s v="debito"/>
    <s v="Pagamento de Bolsa Pesquisa"/>
    <s v="Pagamento bolsa para EDUARDO PALHARES JUNIOR, 36861809870, referente à parcela 03/09."/>
    <n v="-7000"/>
  </r>
  <r>
    <x v="7"/>
    <d v="2026-09-09T00:00:00"/>
    <s v="376 - IFAM 2026-006 - Bio Caroço SEBRAE (15335-4)"/>
    <s v="Recursos Humanos - Bolsa"/>
    <s v="45724/2026"/>
    <s v="debito"/>
    <s v="Pagamento de Bolsa Pesquisa"/>
    <s v="Pagamento bolsa para Gabriel Clávila Soares, 52868826253, referente à parcela 02/09."/>
    <n v="-5000"/>
  </r>
  <r>
    <x v="7"/>
    <d v="2026-09-09T00:00:00"/>
    <s v="376 - IFAM 2026-006 - Bio Caroço SEBRAE (15335-4)"/>
    <s v="Recursos Humanos - Bolsa"/>
    <s v="45725/2026"/>
    <s v="debito"/>
    <s v="Pagamento de Bolsa Pesquisa"/>
    <s v="Pagamento bolsa para Sandro Haiden Teixeira , 04258764205, referente à parcela 02/09."/>
    <n v="-5000"/>
  </r>
  <r>
    <x v="15"/>
    <d v="2026-09-11T00:00:00"/>
    <s v="376 - IFAM 2026-006 - Bio Caroço SEBRAE (15335-4)"/>
    <s v="Recursos Humanos - Bolsa"/>
    <s v="45940/2026"/>
    <s v="debito"/>
    <s v="Pagamento de Bolsa Pesquisa"/>
    <s v="Pagamento bolsa para RAFAEL FREIRE COUTO DA SILVA, 70386477418, referente à parcela 02/09."/>
    <n v="-2000"/>
  </r>
  <r>
    <x v="15"/>
    <d v="2026-09-11T00:00:00"/>
    <s v="376 - IFAM 2026-006 - Bio Caroço SEBRAE (15335-4)"/>
    <s v="Recursos Humanos - Bolsa"/>
    <s v="46007/2026"/>
    <s v="debito"/>
    <s v="Pagamento de Bolsa Pesquisa"/>
    <s v="Pagamento bolsa para Liane de Oliveira Calais Sobreira, 66831555268, referente à parcela 02/09."/>
    <n v="-5000"/>
  </r>
  <r>
    <x v="16"/>
    <d v="2026-07-17T00:00:00"/>
    <s v="376 - IFAM 2026-006 - Bio Caroço SEBRAE (15335-4)"/>
    <s v="Tarifas Bancárias"/>
    <s v="38372/2026"/>
    <s v="debito"/>
    <s v="Pagamento de Despesa Administrativa e Financeira"/>
    <s v="Tarifa bancária do projeto 376 - IFAM 2026-006 - Bio Caroço SEBRAE (15335-4) importada do arquivo de extrato para conciliação bancária."/>
    <n v="-3.16"/>
  </r>
  <r>
    <x v="11"/>
    <d v="2026-08-04T00:00:00"/>
    <s v="376 - IFAM 2026-006 - Bio Caroço SEBRAE (15335-4)"/>
    <s v="Tarifas Bancárias"/>
    <s v="45091/2026"/>
    <s v="debito"/>
    <s v="Pagamento de Despesa Administrativa e Financeira"/>
    <s v="Tarifa bancária do projeto 376 - IFAM 2026-006 - Bio Caroço SEBRAE (15335-4) importada do arquivo de extrato para conciliação bancária."/>
    <n v="-34.5"/>
  </r>
  <r>
    <x v="17"/>
    <d v="2026-08-18T00:00:00"/>
    <s v="376 - IFAM 2026-006 - Bio Caroço SEBRAE (15335-4)"/>
    <s v="Tarifas Bancárias"/>
    <s v="45093/2026"/>
    <s v="debito"/>
    <s v="Pagamento de Despesa Administrativa e Financeira"/>
    <s v="Tarifa bancária do projeto 376 - IFAM 2026-006 - Bio Caroço SEBRAE (15335-4) importada do arquivo de extrato para conciliação bancária."/>
    <n v="-12.64"/>
  </r>
  <r>
    <x v="18"/>
    <d v="2026-08-06T00:00:00"/>
    <s v="376 - IFAM 2026-006 - Bio Caroço SEBRAE (15335-4)"/>
    <s v="Tarifas Bancárias"/>
    <s v="45095/2026"/>
    <s v="debito"/>
    <s v="Pagamento de Despesa Administrativa e Financeira"/>
    <s v="Tarifa bancária do projeto 376 - IFAM 2026-006 - Bio Caroço SEBRAE (15335-4) importada do arquivo de extrato para conciliação bancária."/>
    <n v="-28.44"/>
  </r>
  <r>
    <x v="12"/>
    <d v="2026-09-02T00:00:00"/>
    <s v="376 - IFAM 2026-006 - Bio Caroço SEBRAE (15335-4)"/>
    <s v="Tarifas Bancárias"/>
    <s v="47792/2026"/>
    <s v="debito"/>
    <s v="Pagamento de Despesa Administrativa e Financeira"/>
    <s v="Tarifa bancária do projeto 376 - IFAM 2026-006 - Bio Caroço SEBRAE (15335-4) importada do arquivo de extrato para conciliação bancária."/>
    <n v="-34.5"/>
  </r>
  <r>
    <x v="19"/>
    <d v="2026-09-04T00:00:00"/>
    <s v="376 - IFAM 2026-006 - Bio Caroço SEBRAE (15335-4)"/>
    <s v="Tarifas Bancárias"/>
    <s v="47794/2026"/>
    <s v="debito"/>
    <s v="Pagamento de Despesa Administrativa e Financeira"/>
    <s v="Tarifa bancária do projeto 376 - IFAM 2026-006 - Bio Caroço SEBRAE (15335-4) importada do arquivo de extrato para conciliação bancária."/>
    <n v="-3.16"/>
  </r>
  <r>
    <x v="20"/>
    <d v="2026-09-11T00:00:00"/>
    <s v="376 - IFAM 2026-006 - Bio Caroço SEBRAE (15335-4)"/>
    <s v="Tarifas Bancárias"/>
    <s v="47796/2026"/>
    <s v="debito"/>
    <s v="Pagamento de Despesa Administrativa e Financeira"/>
    <s v="Tarifa bancária do projeto 376 - IFAM 2026-006 - Bio Caroço SEBRAE (15335-4) importada do arquivo de extrato para conciliação bancária."/>
    <n v="-6.32"/>
  </r>
  <r>
    <x v="15"/>
    <d v="2026-09-09T00:00:00"/>
    <s v="376 - IFAM 2026-006 - Bio Caroço SEBRAE (15335-4)"/>
    <s v="Tarifas Bancárias"/>
    <s v="47798/2026"/>
    <s v="debito"/>
    <s v="Pagamento de Despesa Administrativa e Financeira"/>
    <s v="Tarifa bancária do projeto 376 - IFAM 2026-006 - Bio Caroço SEBRAE (15335-4) importada do arquivo de extrato para conciliação bancária."/>
    <n v="-18.96"/>
  </r>
  <r>
    <x v="21"/>
    <d v="2026-06-30T00:00:00"/>
    <s v="377 - IFAM 2026-006 - Bio Caroço EMBRAPII (15338-9)"/>
    <s v="Investimento"/>
    <s v="30460/2026"/>
    <s v="credito"/>
    <s v="Aplicação Financeira"/>
    <s v="Rendimento de aplicação financeira ref. a Junho de 2026."/>
    <n v="334.52"/>
  </r>
  <r>
    <x v="2"/>
    <d v="2026-07-31T00:00:00"/>
    <s v="377 - IFAM 2026-006 - Bio Caroço EMBRAPII (15338-9)"/>
    <s v="Investimento"/>
    <s v="38384/2026"/>
    <s v="credito"/>
    <s v="Aplicação Financeira"/>
    <s v="Rendimento de aplicação financeira ref. a Julho de 2026."/>
    <n v="972.5"/>
  </r>
  <r>
    <x v="2"/>
    <d v="2026-07-31T00:00:00"/>
    <s v="377 - IFAM 2026-006 - Bio Caroço EMBRAPII (15338-9)"/>
    <s v="Investimento"/>
    <s v="38384/2026"/>
    <s v="debito"/>
    <s v="IRRF Pessoa Jurídica"/>
    <s v="Rendimento de aplicação financeira ref. a Julho de 2026."/>
    <n v="-0.01"/>
  </r>
  <r>
    <x v="2"/>
    <d v="2026-07-31T00:00:00"/>
    <s v="377 - IFAM 2026-006 - Bio Caroço EMBRAPII (15338-9)"/>
    <s v="Investimento"/>
    <s v="38384/2026"/>
    <s v="debito"/>
    <s v="IOF"/>
    <s v="Rendimento de aplicação financeira ref. a Julho de 2026."/>
    <n v="-7.0000000000000007E-2"/>
  </r>
  <r>
    <x v="3"/>
    <d v="2026-08-31T00:00:00"/>
    <s v="377 - IFAM 2026-006 - Bio Caroço EMBRAPII (15338-9)"/>
    <s v="Investimento"/>
    <s v="45099/2026"/>
    <s v="credito"/>
    <s v="Aplicação Financeira"/>
    <s v="Rendimento de aplicação financeira ref. a Agosto de 2026."/>
    <n v="859.45"/>
  </r>
  <r>
    <x v="3"/>
    <d v="2026-08-31T00:00:00"/>
    <s v="377 - IFAM 2026-006 - Bio Caroço EMBRAPII (15338-9)"/>
    <s v="Investimento"/>
    <s v="45099/2026"/>
    <s v="debito"/>
    <s v="IRRF Pessoa Jurídica"/>
    <s v="IRRF Retenção Pessoa Jurídica: Rendimento de aplicação financeira ref. a Agosto de 2026."/>
    <n v="-14.42"/>
  </r>
  <r>
    <x v="4"/>
    <d v="2026-09-21T00:00:00"/>
    <s v="377 - IFAM 2026-006 - Bio Caroço EMBRAPII (15338-9)"/>
    <s v="Investimento"/>
    <s v="47809/2026"/>
    <s v="credito"/>
    <s v="Aplicação Financeira"/>
    <s v="Rendimento de aplicação financeira ref. a Setembro de 2026. (PARCIAL)"/>
    <n v="535.78"/>
  </r>
  <r>
    <x v="4"/>
    <d v="2026-09-21T00:00:00"/>
    <s v="377 - IFAM 2026-006 - Bio Caroço EMBRAPII (15338-9)"/>
    <s v="Investimento"/>
    <s v="47809/2026"/>
    <s v="debito"/>
    <s v="IRRF Pessoa Jurídica"/>
    <s v="IRRF Retenção Pessoa Jurídica: Rendimento de aplicação financeira ref. a Setembro de 2026. (PARCIAL)"/>
    <n v="-32.07"/>
  </r>
  <r>
    <x v="22"/>
    <d v="2026-06-17T00:00:00"/>
    <s v="377 - IFAM 2026-006 - Bio Caroço EMBRAPII (15338-9)"/>
    <s v="Receita"/>
    <s v="25579/2026"/>
    <s v="credito"/>
    <s v="Transferência entre Projetos"/>
    <s v="Transferência do projeto &quot;147 - IFAM 2022-023 - EMBRAPII (12026-X)&quot; para &quot;377 - IFAM 2026-006 - Bio Caroço EMBRAPII (15338-9)&quot;, referente a Transferência de valores das contas EMBRAPII para a conta do respectivo projeto."/>
    <n v="103000"/>
  </r>
  <r>
    <x v="6"/>
    <d v="2026-08-06T00:00:00"/>
    <s v="377 - IFAM 2026-006 - Bio Caroço EMBRAPII (15338-9)"/>
    <s v="Recursos Humanos - Bolsa"/>
    <s v="38613/2026"/>
    <s v="debito"/>
    <s v="Pagamento de Bolsa Pesquisa"/>
    <s v="Pagamento bolsa para Gabriel Nogueira de Lima, 00686343239, referente à parcela 02/09."/>
    <n v="-2000"/>
  </r>
  <r>
    <x v="13"/>
    <d v="2026-08-18T00:00:00"/>
    <s v="377 - IFAM 2026-006 - Bio Caroço EMBRAPII (15338-9)"/>
    <s v="Recursos Humanos - Bolsa"/>
    <s v="40217/2026"/>
    <s v="debito"/>
    <s v="Pagamento de Bolsa Pesquisa"/>
    <s v="Pagamento bolsa para Cairo José Nascimento Carneiro, 70513691219, referente à parcela 01/08."/>
    <n v="-2125"/>
  </r>
  <r>
    <x v="7"/>
    <d v="2026-09-09T00:00:00"/>
    <s v="377 - IFAM 2026-006 - Bio Caroço EMBRAPII (15338-9)"/>
    <s v="Recursos Humanos - Bolsa"/>
    <s v="45726/2026"/>
    <s v="debito"/>
    <s v="Pagamento de Bolsa Pesquisa"/>
    <s v="Pagamento bolsa para Jose Mario Castro de Amaral, 07015698242, referente à parcela 03/09."/>
    <n v="-2000"/>
  </r>
  <r>
    <x v="7"/>
    <d v="2026-09-09T00:00:00"/>
    <s v="377 - IFAM 2026-006 - Bio Caroço EMBRAPII (15338-9)"/>
    <s v="Recursos Humanos - Bolsa"/>
    <s v="45727/2026"/>
    <s v="debito"/>
    <s v="Pagamento de Bolsa Pesquisa"/>
    <s v="Pagamento bolsa para Gabriel Nogueira de Lima, 00686343239, referente à parcela 03/09."/>
    <n v="-2000"/>
  </r>
  <r>
    <x v="15"/>
    <d v="2026-09-11T00:00:00"/>
    <s v="377 - IFAM 2026-006 - Bio Caroço EMBRAPII (15338-9)"/>
    <s v="Recursos Humanos - Bolsa"/>
    <s v="45942/2026"/>
    <s v="debito"/>
    <s v="Pagamento de Bolsa Pesquisa"/>
    <s v="Pagamento bolsa para Cairo José Nascimento Carneiro, 70513691219, referente à parcela 02/08."/>
    <n v="-2125"/>
  </r>
  <r>
    <x v="10"/>
    <d v="2026-07-02T00:00:00"/>
    <s v="377 - IFAM 2026-006 - Bio Caroço EMBRAPII (15338-9)"/>
    <s v="Tarifas Bancárias"/>
    <s v="38390/2026"/>
    <s v="debito"/>
    <s v="Pagamento de Despesa Administrativa e Financeira"/>
    <s v="Pagamento de serviços bancários"/>
    <n v="-34.5"/>
  </r>
  <r>
    <x v="11"/>
    <d v="2026-08-04T00:00:00"/>
    <s v="377 - IFAM 2026-006 - Bio Caroço EMBRAPII (15338-9)"/>
    <s v="Tarifas Bancárias"/>
    <s v="39731/2026"/>
    <s v="debito"/>
    <s v="Pagamento de Despesa Administrativa e Financeira"/>
    <s v="Tarifa bancária do projeto 377 - IFAM 2026-006 - Bio Caroço EMBRAPII (15338-9) importada do arquivo de extrato para conciliação bancária."/>
    <n v="-34.5"/>
  </r>
  <r>
    <x v="18"/>
    <d v="2026-08-06T00:00:00"/>
    <s v="377 - IFAM 2026-006 - Bio Caroço EMBRAPII (15338-9)"/>
    <s v="Tarifas Bancárias"/>
    <s v="39733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17"/>
    <d v="2026-08-18T00:00:00"/>
    <s v="377 - IFAM 2026-006 - Bio Caroço EMBRAPII (15338-9)"/>
    <s v="Tarifas Bancárias"/>
    <s v="45098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12"/>
    <d v="2026-09-02T00:00:00"/>
    <s v="377 - IFAM 2026-006 - Bio Caroço EMBRAPII (15338-9)"/>
    <s v="Tarifas Bancárias"/>
    <s v="47802/2026"/>
    <s v="debito"/>
    <s v="Pagamento de Despesa Administrativa e Financeira"/>
    <s v="Tarifa bancária do projeto 377 - IFAM 2026-006 - Bio Caroço EMBRAPII (15338-9) importada do arquivo de extrato para conciliação bancária."/>
    <n v="-34.5"/>
  </r>
  <r>
    <x v="20"/>
    <d v="2026-09-11T00:00:00"/>
    <s v="377 - IFAM 2026-006 - Bio Caroço EMBRAPII (15338-9)"/>
    <s v="Tarifas Bancárias"/>
    <s v="47804/2026"/>
    <s v="debito"/>
    <s v="Pagamento de Despesa Administrativa e Financeira"/>
    <s v="Tarifa bancária do projeto 377 - IFAM 2026-006 - Bio Caroço EMBRAPII (15338-9) importada do arquivo de extrato para conciliação bancária."/>
    <n v="-3.16"/>
  </r>
  <r>
    <x v="15"/>
    <d v="2026-09-09T00:00:00"/>
    <s v="377 - IFAM 2026-006 - Bio Caroço EMBRAPII (15338-9)"/>
    <s v="Tarifas Bancárias"/>
    <s v="47806/2026"/>
    <s v="debito"/>
    <s v="Pagamento de Despesa Administrativa e Financeira"/>
    <s v="Tarifa bancária do projeto 377 - IFAM 2026-006 - Bio Caroço EMBRAPII (15338-9) importada do arquivo de extrato para conciliação bancária."/>
    <n v="-6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36DD7-534E-4BAC-8DEA-04C59BA20F0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7" firstHeaderRow="1" firstDataRow="1" firstDataCol="1"/>
  <pivotFields count="9">
    <pivotField axis="axisRow" showAll="0" sortType="ascending" defaultSubtotal="0">
      <items count="46">
        <item m="1" x="31"/>
        <item m="1" x="34"/>
        <item m="1" x="37"/>
        <item m="1" x="33"/>
        <item m="1" x="42"/>
        <item m="1" x="27"/>
        <item m="1" x="41"/>
        <item m="1" x="35"/>
        <item m="1" x="28"/>
        <item m="1" x="38"/>
        <item m="1" x="32"/>
        <item m="1" x="43"/>
        <item m="1" x="45"/>
        <item m="1" x="26"/>
        <item m="1" x="30"/>
        <item m="1" x="39"/>
        <item m="1" x="36"/>
        <item m="1" x="40"/>
        <item m="1" x="29"/>
        <item m="1" x="25"/>
        <item m="1" x="44"/>
        <item m="1" x="23"/>
        <item m="1" x="24"/>
        <item x="22"/>
        <item x="21"/>
        <item x="10"/>
        <item x="0"/>
        <item x="1"/>
        <item x="5"/>
        <item x="16"/>
        <item x="2"/>
        <item x="11"/>
        <item x="6"/>
        <item x="18"/>
        <item x="13"/>
        <item x="17"/>
        <item x="8"/>
        <item x="3"/>
        <item x="12"/>
        <item x="14"/>
        <item x="19"/>
        <item x="7"/>
        <item x="15"/>
        <item x="20"/>
        <item x="9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0"/>
  </rowFields>
  <rowItems count="24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oma de valor" fld="8" baseField="0" baseItem="0"/>
  </dataFields>
  <formats count="1"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049E5-0281-4D5D-A75B-91688D40DD5E}">
  <sheetPr filterMode="1"/>
  <dimension ref="A1:J85"/>
  <sheetViews>
    <sheetView showGridLines="0" tabSelected="1" zoomScaleNormal="100" workbookViewId="0">
      <pane ySplit="1" topLeftCell="A2" activePane="bottomLeft" state="frozen"/>
      <selection pane="bottomLeft" activeCell="E91" sqref="E91"/>
    </sheetView>
  </sheetViews>
  <sheetFormatPr defaultRowHeight="15" x14ac:dyDescent="0.25"/>
  <cols>
    <col min="1" max="1" width="16.5703125" style="3" bestFit="1" customWidth="1"/>
    <col min="2" max="2" width="16" style="3" bestFit="1" customWidth="1"/>
    <col min="3" max="3" width="16" style="3" customWidth="1"/>
    <col min="4" max="4" width="29.28515625" style="7" customWidth="1"/>
    <col min="5" max="5" width="35.42578125" style="7" bestFit="1" customWidth="1"/>
    <col min="6" max="6" width="11.5703125" style="7" bestFit="1" customWidth="1"/>
    <col min="7" max="7" width="10.85546875" style="7" bestFit="1" customWidth="1"/>
    <col min="8" max="8" width="28.140625" style="7" bestFit="1" customWidth="1"/>
    <col min="9" max="9" width="58.5703125" style="14" customWidth="1"/>
    <col min="10" max="10" width="14.28515625" style="2" bestFit="1" customWidth="1"/>
    <col min="11" max="16384" width="9.140625" style="1"/>
  </cols>
  <sheetData>
    <row r="1" spans="1:10" x14ac:dyDescent="0.25">
      <c r="A1" s="5" t="s">
        <v>6</v>
      </c>
      <c r="B1" s="5" t="s">
        <v>7</v>
      </c>
      <c r="C1" s="15" t="s">
        <v>148</v>
      </c>
      <c r="D1" s="12" t="s">
        <v>53</v>
      </c>
      <c r="E1" s="6" t="s">
        <v>5</v>
      </c>
      <c r="F1" s="6" t="s">
        <v>8</v>
      </c>
      <c r="G1" s="6" t="s">
        <v>0</v>
      </c>
      <c r="H1" s="6" t="s">
        <v>2</v>
      </c>
      <c r="I1" s="6" t="s">
        <v>3</v>
      </c>
      <c r="J1" s="4" t="s">
        <v>4</v>
      </c>
    </row>
    <row r="2" spans="1:10" ht="45" x14ac:dyDescent="0.25">
      <c r="A2" s="5">
        <v>46204</v>
      </c>
      <c r="B2" s="5">
        <v>46204</v>
      </c>
      <c r="C2" s="16" t="str">
        <f>TEXT(B2,"mmmm")</f>
        <v>julho</v>
      </c>
      <c r="D2" s="12" t="s">
        <v>54</v>
      </c>
      <c r="E2" s="6" t="s">
        <v>13</v>
      </c>
      <c r="F2" s="6" t="s">
        <v>9</v>
      </c>
      <c r="G2" s="6" t="s">
        <v>1</v>
      </c>
      <c r="H2" s="6" t="s">
        <v>10</v>
      </c>
      <c r="I2" s="13" t="s">
        <v>11</v>
      </c>
      <c r="J2" s="4">
        <v>27500</v>
      </c>
    </row>
    <row r="3" spans="1:10" ht="60" x14ac:dyDescent="0.25">
      <c r="A3" s="5">
        <v>46210</v>
      </c>
      <c r="B3" s="5">
        <v>46211</v>
      </c>
      <c r="C3" s="16" t="str">
        <f t="shared" ref="C3:C66" si="0">TEXT(B3,"mmmm")</f>
        <v>julho</v>
      </c>
      <c r="D3" s="12" t="s">
        <v>54</v>
      </c>
      <c r="E3" s="6" t="s">
        <v>12</v>
      </c>
      <c r="F3" s="6" t="s">
        <v>14</v>
      </c>
      <c r="G3" s="6" t="s">
        <v>16</v>
      </c>
      <c r="H3" s="6" t="s">
        <v>15</v>
      </c>
      <c r="I3" s="13" t="s">
        <v>17</v>
      </c>
      <c r="J3" s="4">
        <v>-1375</v>
      </c>
    </row>
    <row r="4" spans="1:10" ht="75" x14ac:dyDescent="0.25">
      <c r="A4" s="5">
        <v>46213</v>
      </c>
      <c r="B4" s="5">
        <v>46213</v>
      </c>
      <c r="C4" s="16" t="str">
        <f t="shared" si="0"/>
        <v>julho</v>
      </c>
      <c r="D4" s="12" t="s">
        <v>54</v>
      </c>
      <c r="E4" s="6" t="s">
        <v>12</v>
      </c>
      <c r="F4" s="6" t="s">
        <v>19</v>
      </c>
      <c r="G4" s="6" t="s">
        <v>16</v>
      </c>
      <c r="H4" s="6" t="s">
        <v>15</v>
      </c>
      <c r="I4" s="13" t="s">
        <v>18</v>
      </c>
      <c r="J4" s="4">
        <v>-2750</v>
      </c>
    </row>
    <row r="5" spans="1:10" ht="30" x14ac:dyDescent="0.25">
      <c r="A5" s="5">
        <v>46234</v>
      </c>
      <c r="B5" s="5">
        <v>46234</v>
      </c>
      <c r="C5" s="16" t="str">
        <f t="shared" si="0"/>
        <v>julho</v>
      </c>
      <c r="D5" s="12" t="s">
        <v>54</v>
      </c>
      <c r="E5" s="6" t="s">
        <v>20</v>
      </c>
      <c r="F5" s="6" t="s">
        <v>21</v>
      </c>
      <c r="G5" s="6" t="s">
        <v>1</v>
      </c>
      <c r="H5" s="6" t="s">
        <v>25</v>
      </c>
      <c r="I5" s="13" t="s">
        <v>24</v>
      </c>
      <c r="J5" s="4">
        <v>184.68</v>
      </c>
    </row>
    <row r="6" spans="1:10" ht="30" x14ac:dyDescent="0.25">
      <c r="A6" s="5">
        <v>46234</v>
      </c>
      <c r="B6" s="5">
        <v>46234</v>
      </c>
      <c r="C6" s="16" t="str">
        <f t="shared" si="0"/>
        <v>julho</v>
      </c>
      <c r="D6" s="12" t="s">
        <v>54</v>
      </c>
      <c r="E6" s="6" t="s">
        <v>20</v>
      </c>
      <c r="F6" s="6" t="s">
        <v>21</v>
      </c>
      <c r="G6" s="6" t="s">
        <v>16</v>
      </c>
      <c r="H6" s="6" t="s">
        <v>26</v>
      </c>
      <c r="I6" s="13" t="s">
        <v>24</v>
      </c>
      <c r="J6" s="4">
        <v>-1.34</v>
      </c>
    </row>
    <row r="7" spans="1:10" ht="30" x14ac:dyDescent="0.25">
      <c r="A7" s="5">
        <v>46234</v>
      </c>
      <c r="B7" s="5">
        <v>46234</v>
      </c>
      <c r="C7" s="16" t="str">
        <f t="shared" si="0"/>
        <v>julho</v>
      </c>
      <c r="D7" s="12" t="s">
        <v>54</v>
      </c>
      <c r="E7" s="6" t="s">
        <v>20</v>
      </c>
      <c r="F7" s="6" t="s">
        <v>21</v>
      </c>
      <c r="G7" s="6" t="s">
        <v>16</v>
      </c>
      <c r="H7" s="6" t="s">
        <v>27</v>
      </c>
      <c r="I7" s="13" t="s">
        <v>24</v>
      </c>
      <c r="J7" s="4">
        <v>-10.92</v>
      </c>
    </row>
    <row r="8" spans="1:10" ht="30" x14ac:dyDescent="0.25">
      <c r="A8" s="5">
        <v>46265</v>
      </c>
      <c r="B8" s="5">
        <v>46265</v>
      </c>
      <c r="C8" s="16" t="str">
        <f t="shared" si="0"/>
        <v>agosto</v>
      </c>
      <c r="D8" s="12" t="s">
        <v>54</v>
      </c>
      <c r="E8" s="6" t="s">
        <v>20</v>
      </c>
      <c r="F8" s="6" t="s">
        <v>22</v>
      </c>
      <c r="G8" s="6" t="s">
        <v>1</v>
      </c>
      <c r="H8" s="6" t="s">
        <v>25</v>
      </c>
      <c r="I8" s="13" t="s">
        <v>28</v>
      </c>
      <c r="J8" s="4">
        <v>154.41</v>
      </c>
    </row>
    <row r="9" spans="1:10" ht="30" x14ac:dyDescent="0.25">
      <c r="A9" s="5">
        <v>46265</v>
      </c>
      <c r="B9" s="5">
        <v>46265</v>
      </c>
      <c r="C9" s="16" t="str">
        <f t="shared" si="0"/>
        <v>agosto</v>
      </c>
      <c r="D9" s="12" t="s">
        <v>54</v>
      </c>
      <c r="E9" s="6" t="s">
        <v>20</v>
      </c>
      <c r="F9" s="6" t="s">
        <v>22</v>
      </c>
      <c r="G9" s="6" t="s">
        <v>16</v>
      </c>
      <c r="H9" s="6" t="s">
        <v>26</v>
      </c>
      <c r="I9" s="13" t="s">
        <v>29</v>
      </c>
      <c r="J9" s="4">
        <v>-6.32</v>
      </c>
    </row>
    <row r="10" spans="1:10" ht="30" x14ac:dyDescent="0.25">
      <c r="A10" s="5">
        <v>46286</v>
      </c>
      <c r="B10" s="5">
        <v>46286</v>
      </c>
      <c r="C10" s="16" t="str">
        <f t="shared" si="0"/>
        <v>setembro</v>
      </c>
      <c r="D10" s="12" t="s">
        <v>54</v>
      </c>
      <c r="E10" s="6" t="s">
        <v>20</v>
      </c>
      <c r="F10" s="6" t="s">
        <v>23</v>
      </c>
      <c r="G10" s="6" t="s">
        <v>1</v>
      </c>
      <c r="H10" s="6" t="s">
        <v>25</v>
      </c>
      <c r="I10" s="13" t="s">
        <v>30</v>
      </c>
      <c r="J10" s="4">
        <v>88.34</v>
      </c>
    </row>
    <row r="11" spans="1:10" ht="30" x14ac:dyDescent="0.25">
      <c r="A11" s="5">
        <v>46286</v>
      </c>
      <c r="B11" s="5">
        <v>46286</v>
      </c>
      <c r="C11" s="16" t="str">
        <f t="shared" si="0"/>
        <v>setembro</v>
      </c>
      <c r="D11" s="12" t="s">
        <v>54</v>
      </c>
      <c r="E11" s="6" t="s">
        <v>20</v>
      </c>
      <c r="F11" s="6" t="s">
        <v>23</v>
      </c>
      <c r="G11" s="6" t="s">
        <v>16</v>
      </c>
      <c r="H11" s="6" t="s">
        <v>26</v>
      </c>
      <c r="I11" s="13" t="s">
        <v>31</v>
      </c>
      <c r="J11" s="4">
        <v>-12.34</v>
      </c>
    </row>
    <row r="12" spans="1:10" ht="30" x14ac:dyDescent="0.25">
      <c r="A12" s="5">
        <v>46219</v>
      </c>
      <c r="B12" s="5">
        <v>46220</v>
      </c>
      <c r="C12" s="16" t="str">
        <f t="shared" si="0"/>
        <v>julho</v>
      </c>
      <c r="D12" s="12" t="s">
        <v>54</v>
      </c>
      <c r="E12" s="6" t="s">
        <v>32</v>
      </c>
      <c r="F12" s="6" t="s">
        <v>33</v>
      </c>
      <c r="G12" s="6" t="s">
        <v>16</v>
      </c>
      <c r="H12" s="6" t="s">
        <v>36</v>
      </c>
      <c r="I12" s="13" t="s">
        <v>37</v>
      </c>
      <c r="J12" s="4">
        <v>-2800</v>
      </c>
    </row>
    <row r="13" spans="1:10" ht="30" x14ac:dyDescent="0.25">
      <c r="A13" s="5">
        <v>46239</v>
      </c>
      <c r="B13" s="5">
        <v>46240</v>
      </c>
      <c r="C13" s="16" t="str">
        <f t="shared" si="0"/>
        <v>agosto</v>
      </c>
      <c r="D13" s="12" t="s">
        <v>54</v>
      </c>
      <c r="E13" s="6" t="s">
        <v>32</v>
      </c>
      <c r="F13" s="6" t="s">
        <v>34</v>
      </c>
      <c r="G13" s="6" t="s">
        <v>16</v>
      </c>
      <c r="H13" s="6" t="s">
        <v>36</v>
      </c>
      <c r="I13" s="13" t="s">
        <v>38</v>
      </c>
      <c r="J13" s="4">
        <v>-2800</v>
      </c>
    </row>
    <row r="14" spans="1:10" ht="30" x14ac:dyDescent="0.25">
      <c r="A14" s="5">
        <v>46273</v>
      </c>
      <c r="B14" s="5">
        <v>46274</v>
      </c>
      <c r="C14" s="16" t="str">
        <f t="shared" si="0"/>
        <v>setembro</v>
      </c>
      <c r="D14" s="12" t="s">
        <v>54</v>
      </c>
      <c r="E14" s="6" t="s">
        <v>32</v>
      </c>
      <c r="F14" s="6" t="s">
        <v>35</v>
      </c>
      <c r="G14" s="6" t="s">
        <v>16</v>
      </c>
      <c r="H14" s="6" t="s">
        <v>36</v>
      </c>
      <c r="I14" s="13" t="s">
        <v>39</v>
      </c>
      <c r="J14" s="4">
        <v>-2800</v>
      </c>
    </row>
    <row r="15" spans="1:10" ht="60" x14ac:dyDescent="0.25">
      <c r="A15" s="5">
        <v>46254</v>
      </c>
      <c r="B15" s="5">
        <v>46255</v>
      </c>
      <c r="C15" s="16" t="str">
        <f t="shared" si="0"/>
        <v>agosto</v>
      </c>
      <c r="D15" s="12" t="s">
        <v>54</v>
      </c>
      <c r="E15" s="17" t="s">
        <v>40</v>
      </c>
      <c r="F15" s="6" t="s">
        <v>43</v>
      </c>
      <c r="G15" s="6" t="s">
        <v>16</v>
      </c>
      <c r="H15" s="6" t="s">
        <v>15</v>
      </c>
      <c r="I15" s="13" t="s">
        <v>41</v>
      </c>
      <c r="J15" s="4">
        <v>-128.58000000000001</v>
      </c>
    </row>
    <row r="16" spans="1:10" ht="60" x14ac:dyDescent="0.25">
      <c r="A16" s="5">
        <v>46281</v>
      </c>
      <c r="B16" s="5">
        <v>46282</v>
      </c>
      <c r="C16" s="16" t="str">
        <f t="shared" si="0"/>
        <v>setembro</v>
      </c>
      <c r="D16" s="12" t="s">
        <v>54</v>
      </c>
      <c r="E16" s="6" t="s">
        <v>40</v>
      </c>
      <c r="F16" s="6" t="s">
        <v>44</v>
      </c>
      <c r="G16" s="6" t="s">
        <v>16</v>
      </c>
      <c r="H16" s="6" t="s">
        <v>15</v>
      </c>
      <c r="I16" s="13" t="s">
        <v>42</v>
      </c>
      <c r="J16" s="4">
        <v>-128.57</v>
      </c>
    </row>
    <row r="17" spans="1:10" ht="30" x14ac:dyDescent="0.25">
      <c r="A17" s="5">
        <v>46205</v>
      </c>
      <c r="B17" s="5">
        <v>46205</v>
      </c>
      <c r="C17" s="16" t="str">
        <f t="shared" si="0"/>
        <v>julho</v>
      </c>
      <c r="D17" s="12" t="s">
        <v>54</v>
      </c>
      <c r="E17" s="6" t="s">
        <v>45</v>
      </c>
      <c r="F17" s="6" t="s">
        <v>49</v>
      </c>
      <c r="G17" s="6" t="s">
        <v>16</v>
      </c>
      <c r="H17" s="6" t="s">
        <v>46</v>
      </c>
      <c r="I17" s="13" t="s">
        <v>47</v>
      </c>
      <c r="J17" s="4">
        <v>-34.5</v>
      </c>
    </row>
    <row r="18" spans="1:10" ht="30" x14ac:dyDescent="0.25">
      <c r="A18" s="5">
        <v>46213</v>
      </c>
      <c r="B18" s="5">
        <v>46213</v>
      </c>
      <c r="C18" s="16" t="str">
        <f t="shared" si="0"/>
        <v>julho</v>
      </c>
      <c r="D18" s="12" t="s">
        <v>54</v>
      </c>
      <c r="E18" s="6" t="s">
        <v>45</v>
      </c>
      <c r="F18" s="6" t="s">
        <v>50</v>
      </c>
      <c r="G18" s="6" t="s">
        <v>16</v>
      </c>
      <c r="H18" s="6" t="s">
        <v>46</v>
      </c>
      <c r="I18" s="13" t="s">
        <v>47</v>
      </c>
      <c r="J18" s="4">
        <v>-1.7</v>
      </c>
    </row>
    <row r="19" spans="1:10" ht="45" x14ac:dyDescent="0.25">
      <c r="A19" s="5">
        <v>46238</v>
      </c>
      <c r="B19" s="5">
        <v>46238</v>
      </c>
      <c r="C19" s="16" t="str">
        <f t="shared" si="0"/>
        <v>agosto</v>
      </c>
      <c r="D19" s="12" t="s">
        <v>54</v>
      </c>
      <c r="E19" s="6" t="s">
        <v>45</v>
      </c>
      <c r="F19" s="6" t="s">
        <v>51</v>
      </c>
      <c r="G19" s="6" t="s">
        <v>16</v>
      </c>
      <c r="H19" s="6" t="s">
        <v>46</v>
      </c>
      <c r="I19" s="13" t="s">
        <v>48</v>
      </c>
      <c r="J19" s="4">
        <v>-34.5</v>
      </c>
    </row>
    <row r="20" spans="1:10" ht="45" x14ac:dyDescent="0.25">
      <c r="A20" s="5">
        <v>46267</v>
      </c>
      <c r="B20" s="5">
        <v>46267</v>
      </c>
      <c r="C20" s="16" t="str">
        <f t="shared" si="0"/>
        <v>setembro</v>
      </c>
      <c r="D20" s="12" t="s">
        <v>54</v>
      </c>
      <c r="E20" s="6" t="s">
        <v>45</v>
      </c>
      <c r="F20" s="6" t="s">
        <v>52</v>
      </c>
      <c r="G20" s="6" t="s">
        <v>16</v>
      </c>
      <c r="H20" s="6" t="s">
        <v>46</v>
      </c>
      <c r="I20" s="13" t="s">
        <v>48</v>
      </c>
      <c r="J20" s="4">
        <v>-34.5</v>
      </c>
    </row>
    <row r="21" spans="1:10" ht="30" hidden="1" x14ac:dyDescent="0.25">
      <c r="A21" s="5">
        <v>46234</v>
      </c>
      <c r="B21" s="5">
        <v>46234</v>
      </c>
      <c r="C21" s="16" t="str">
        <f t="shared" si="0"/>
        <v>julho</v>
      </c>
      <c r="D21" s="6" t="s">
        <v>55</v>
      </c>
      <c r="E21" s="6" t="s">
        <v>20</v>
      </c>
      <c r="F21" s="6" t="s">
        <v>56</v>
      </c>
      <c r="G21" s="6" t="s">
        <v>1</v>
      </c>
      <c r="H21" s="6" t="s">
        <v>25</v>
      </c>
      <c r="I21" s="13" t="s">
        <v>24</v>
      </c>
      <c r="J21" s="4">
        <v>986.69</v>
      </c>
    </row>
    <row r="22" spans="1:10" ht="30" hidden="1" x14ac:dyDescent="0.25">
      <c r="A22" s="5">
        <v>46234</v>
      </c>
      <c r="B22" s="5">
        <v>46234</v>
      </c>
      <c r="C22" s="16" t="str">
        <f t="shared" si="0"/>
        <v>julho</v>
      </c>
      <c r="D22" s="6" t="s">
        <v>55</v>
      </c>
      <c r="E22" s="6" t="s">
        <v>20</v>
      </c>
      <c r="F22" s="6" t="s">
        <v>56</v>
      </c>
      <c r="G22" s="6" t="s">
        <v>16</v>
      </c>
      <c r="H22" s="6" t="s">
        <v>26</v>
      </c>
      <c r="I22" s="13" t="s">
        <v>24</v>
      </c>
      <c r="J22" s="4">
        <v>-1.77</v>
      </c>
    </row>
    <row r="23" spans="1:10" ht="30" hidden="1" x14ac:dyDescent="0.25">
      <c r="A23" s="5">
        <v>46234</v>
      </c>
      <c r="B23" s="5">
        <v>46234</v>
      </c>
      <c r="C23" s="16" t="str">
        <f t="shared" si="0"/>
        <v>julho</v>
      </c>
      <c r="D23" s="6" t="s">
        <v>55</v>
      </c>
      <c r="E23" s="6" t="s">
        <v>20</v>
      </c>
      <c r="F23" s="6" t="s">
        <v>56</v>
      </c>
      <c r="G23" s="6" t="s">
        <v>16</v>
      </c>
      <c r="H23" s="6" t="s">
        <v>27</v>
      </c>
      <c r="I23" s="13" t="s">
        <v>24</v>
      </c>
      <c r="J23" s="4">
        <v>-21.31</v>
      </c>
    </row>
    <row r="24" spans="1:10" ht="30" hidden="1" x14ac:dyDescent="0.25">
      <c r="A24" s="5">
        <v>46265</v>
      </c>
      <c r="B24" s="5">
        <v>46265</v>
      </c>
      <c r="C24" s="16" t="str">
        <f t="shared" si="0"/>
        <v>agosto</v>
      </c>
      <c r="D24" s="6" t="s">
        <v>55</v>
      </c>
      <c r="E24" s="6" t="s">
        <v>20</v>
      </c>
      <c r="F24" s="6" t="s">
        <v>57</v>
      </c>
      <c r="G24" s="6" t="s">
        <v>1</v>
      </c>
      <c r="H24" s="6" t="s">
        <v>25</v>
      </c>
      <c r="I24" s="13" t="s">
        <v>28</v>
      </c>
      <c r="J24" s="4">
        <v>795.84</v>
      </c>
    </row>
    <row r="25" spans="1:10" ht="30" hidden="1" x14ac:dyDescent="0.25">
      <c r="A25" s="5">
        <v>46265</v>
      </c>
      <c r="B25" s="5">
        <v>46265</v>
      </c>
      <c r="C25" s="16" t="str">
        <f t="shared" si="0"/>
        <v>agosto</v>
      </c>
      <c r="D25" s="6" t="s">
        <v>55</v>
      </c>
      <c r="E25" s="6" t="s">
        <v>20</v>
      </c>
      <c r="F25" s="6" t="s">
        <v>57</v>
      </c>
      <c r="G25" s="6" t="s">
        <v>16</v>
      </c>
      <c r="H25" s="6" t="s">
        <v>26</v>
      </c>
      <c r="I25" s="13" t="s">
        <v>29</v>
      </c>
      <c r="J25" s="4">
        <v>-117.23</v>
      </c>
    </row>
    <row r="26" spans="1:10" ht="30" hidden="1" x14ac:dyDescent="0.25">
      <c r="A26" s="5">
        <v>46265</v>
      </c>
      <c r="B26" s="5">
        <v>46265</v>
      </c>
      <c r="C26" s="16" t="str">
        <f t="shared" si="0"/>
        <v>agosto</v>
      </c>
      <c r="D26" s="6" t="s">
        <v>55</v>
      </c>
      <c r="E26" s="6" t="s">
        <v>20</v>
      </c>
      <c r="F26" s="6" t="s">
        <v>57</v>
      </c>
      <c r="G26" s="6" t="s">
        <v>16</v>
      </c>
      <c r="H26" s="6" t="s">
        <v>27</v>
      </c>
      <c r="I26" s="13" t="s">
        <v>59</v>
      </c>
      <c r="J26" s="4">
        <v>-20.95</v>
      </c>
    </row>
    <row r="27" spans="1:10" ht="30" hidden="1" x14ac:dyDescent="0.25">
      <c r="A27" s="5">
        <v>46286</v>
      </c>
      <c r="B27" s="5">
        <v>46286</v>
      </c>
      <c r="C27" s="16" t="str">
        <f t="shared" si="0"/>
        <v>setembro</v>
      </c>
      <c r="D27" s="6" t="s">
        <v>55</v>
      </c>
      <c r="E27" s="6" t="s">
        <v>20</v>
      </c>
      <c r="F27" s="6" t="s">
        <v>58</v>
      </c>
      <c r="G27" s="6" t="s">
        <v>1</v>
      </c>
      <c r="H27" s="6" t="s">
        <v>25</v>
      </c>
      <c r="I27" s="13" t="s">
        <v>30</v>
      </c>
      <c r="J27" s="4">
        <v>249.61</v>
      </c>
    </row>
    <row r="28" spans="1:10" ht="30" hidden="1" x14ac:dyDescent="0.25">
      <c r="A28" s="5">
        <v>46286</v>
      </c>
      <c r="B28" s="5">
        <v>46286</v>
      </c>
      <c r="C28" s="16" t="str">
        <f t="shared" si="0"/>
        <v>setembro</v>
      </c>
      <c r="D28" s="6" t="s">
        <v>55</v>
      </c>
      <c r="E28" s="6" t="s">
        <v>20</v>
      </c>
      <c r="F28" s="6" t="s">
        <v>58</v>
      </c>
      <c r="G28" s="6" t="s">
        <v>16</v>
      </c>
      <c r="H28" s="6" t="s">
        <v>26</v>
      </c>
      <c r="I28" s="13" t="s">
        <v>31</v>
      </c>
      <c r="J28" s="4">
        <v>-200.93</v>
      </c>
    </row>
    <row r="29" spans="1:10" ht="60" hidden="1" x14ac:dyDescent="0.25">
      <c r="A29" s="5">
        <v>46210</v>
      </c>
      <c r="B29" s="5">
        <v>46211</v>
      </c>
      <c r="C29" s="16" t="str">
        <f t="shared" si="0"/>
        <v>julho</v>
      </c>
      <c r="D29" s="6" t="s">
        <v>55</v>
      </c>
      <c r="E29" s="6" t="s">
        <v>13</v>
      </c>
      <c r="F29" s="6" t="s">
        <v>61</v>
      </c>
      <c r="G29" s="6" t="s">
        <v>1</v>
      </c>
      <c r="H29" s="6" t="s">
        <v>15</v>
      </c>
      <c r="I29" s="13" t="s">
        <v>60</v>
      </c>
      <c r="J29" s="4">
        <v>150000</v>
      </c>
    </row>
    <row r="30" spans="1:10" ht="30" hidden="1" x14ac:dyDescent="0.25">
      <c r="A30" s="5">
        <v>46219</v>
      </c>
      <c r="B30" s="5">
        <v>46220</v>
      </c>
      <c r="C30" s="16" t="str">
        <f t="shared" si="0"/>
        <v>julho</v>
      </c>
      <c r="D30" s="6" t="s">
        <v>55</v>
      </c>
      <c r="E30" s="6" t="s">
        <v>32</v>
      </c>
      <c r="F30" s="6" t="s">
        <v>62</v>
      </c>
      <c r="G30" s="6" t="s">
        <v>16</v>
      </c>
      <c r="H30" s="6" t="s">
        <v>36</v>
      </c>
      <c r="I30" s="13" t="s">
        <v>83</v>
      </c>
      <c r="J30" s="4">
        <v>-12000</v>
      </c>
    </row>
    <row r="31" spans="1:10" ht="30" hidden="1" x14ac:dyDescent="0.25">
      <c r="A31" s="5">
        <v>46239</v>
      </c>
      <c r="B31" s="5">
        <v>46240</v>
      </c>
      <c r="C31" s="16" t="str">
        <f t="shared" si="0"/>
        <v>agosto</v>
      </c>
      <c r="D31" s="6" t="s">
        <v>55</v>
      </c>
      <c r="E31" s="6" t="s">
        <v>32</v>
      </c>
      <c r="F31" s="6" t="s">
        <v>63</v>
      </c>
      <c r="G31" s="6" t="s">
        <v>16</v>
      </c>
      <c r="H31" s="6" t="s">
        <v>36</v>
      </c>
      <c r="I31" s="13" t="s">
        <v>84</v>
      </c>
      <c r="J31" s="4">
        <v>-12000</v>
      </c>
    </row>
    <row r="32" spans="1:10" ht="30" hidden="1" x14ac:dyDescent="0.25">
      <c r="A32" s="5">
        <v>46239</v>
      </c>
      <c r="B32" s="5">
        <v>46240</v>
      </c>
      <c r="C32" s="16" t="str">
        <f t="shared" si="0"/>
        <v>agosto</v>
      </c>
      <c r="D32" s="6" t="s">
        <v>55</v>
      </c>
      <c r="E32" s="6" t="s">
        <v>32</v>
      </c>
      <c r="F32" s="6" t="s">
        <v>64</v>
      </c>
      <c r="G32" s="6" t="s">
        <v>16</v>
      </c>
      <c r="H32" s="6" t="s">
        <v>36</v>
      </c>
      <c r="I32" s="13" t="s">
        <v>85</v>
      </c>
      <c r="J32" s="4">
        <v>-5000</v>
      </c>
    </row>
    <row r="33" spans="1:10" ht="30" hidden="1" x14ac:dyDescent="0.25">
      <c r="A33" s="5">
        <v>46239</v>
      </c>
      <c r="B33" s="5">
        <v>46240</v>
      </c>
      <c r="C33" s="16" t="str">
        <f t="shared" si="0"/>
        <v>agosto</v>
      </c>
      <c r="D33" s="6" t="s">
        <v>55</v>
      </c>
      <c r="E33" s="6" t="s">
        <v>32</v>
      </c>
      <c r="F33" s="6" t="s">
        <v>65</v>
      </c>
      <c r="G33" s="6" t="s">
        <v>16</v>
      </c>
      <c r="H33" s="6" t="s">
        <v>36</v>
      </c>
      <c r="I33" s="13" t="s">
        <v>86</v>
      </c>
      <c r="J33" s="4">
        <v>-5000</v>
      </c>
    </row>
    <row r="34" spans="1:10" ht="30" hidden="1" x14ac:dyDescent="0.25">
      <c r="A34" s="5">
        <v>46239</v>
      </c>
      <c r="B34" s="5">
        <v>46240</v>
      </c>
      <c r="C34" s="16" t="str">
        <f t="shared" si="0"/>
        <v>agosto</v>
      </c>
      <c r="D34" s="6" t="s">
        <v>55</v>
      </c>
      <c r="E34" s="6" t="s">
        <v>32</v>
      </c>
      <c r="F34" s="6" t="s">
        <v>66</v>
      </c>
      <c r="G34" s="6" t="s">
        <v>16</v>
      </c>
      <c r="H34" s="6" t="s">
        <v>36</v>
      </c>
      <c r="I34" s="13" t="s">
        <v>87</v>
      </c>
      <c r="J34" s="4">
        <v>-7000</v>
      </c>
    </row>
    <row r="35" spans="1:10" ht="30" hidden="1" x14ac:dyDescent="0.25">
      <c r="A35" s="5">
        <v>46239</v>
      </c>
      <c r="B35" s="5">
        <v>46240</v>
      </c>
      <c r="C35" s="16" t="str">
        <f t="shared" si="0"/>
        <v>agosto</v>
      </c>
      <c r="D35" s="6" t="s">
        <v>55</v>
      </c>
      <c r="E35" s="6" t="s">
        <v>32</v>
      </c>
      <c r="F35" s="6" t="s">
        <v>67</v>
      </c>
      <c r="G35" s="6" t="s">
        <v>16</v>
      </c>
      <c r="H35" s="6" t="s">
        <v>36</v>
      </c>
      <c r="I35" s="13" t="s">
        <v>88</v>
      </c>
      <c r="J35" s="4">
        <v>-2000</v>
      </c>
    </row>
    <row r="36" spans="1:10" ht="30" hidden="1" x14ac:dyDescent="0.25">
      <c r="A36" s="5">
        <v>46239</v>
      </c>
      <c r="B36" s="5">
        <v>46240</v>
      </c>
      <c r="C36" s="16" t="str">
        <f t="shared" si="0"/>
        <v>agosto</v>
      </c>
      <c r="D36" s="6" t="s">
        <v>55</v>
      </c>
      <c r="E36" s="6" t="s">
        <v>32</v>
      </c>
      <c r="F36" s="6" t="s">
        <v>67</v>
      </c>
      <c r="G36" s="6" t="s">
        <v>16</v>
      </c>
      <c r="H36" s="6" t="s">
        <v>36</v>
      </c>
      <c r="I36" s="13" t="s">
        <v>89</v>
      </c>
      <c r="J36" s="4">
        <v>-2000</v>
      </c>
    </row>
    <row r="37" spans="1:10" ht="30" hidden="1" x14ac:dyDescent="0.25">
      <c r="A37" s="5">
        <v>46239</v>
      </c>
      <c r="B37" s="5">
        <v>46240</v>
      </c>
      <c r="C37" s="16" t="str">
        <f t="shared" si="0"/>
        <v>agosto</v>
      </c>
      <c r="D37" s="6" t="s">
        <v>55</v>
      </c>
      <c r="E37" s="6" t="s">
        <v>32</v>
      </c>
      <c r="F37" s="6" t="s">
        <v>67</v>
      </c>
      <c r="G37" s="6" t="s">
        <v>16</v>
      </c>
      <c r="H37" s="6" t="s">
        <v>36</v>
      </c>
      <c r="I37" s="13" t="s">
        <v>90</v>
      </c>
      <c r="J37" s="4">
        <v>-2000</v>
      </c>
    </row>
    <row r="38" spans="1:10" ht="30" hidden="1" x14ac:dyDescent="0.25">
      <c r="A38" s="5">
        <v>46239</v>
      </c>
      <c r="B38" s="5">
        <v>46240</v>
      </c>
      <c r="C38" s="16" t="str">
        <f t="shared" si="0"/>
        <v>agosto</v>
      </c>
      <c r="D38" s="6" t="s">
        <v>55</v>
      </c>
      <c r="E38" s="6" t="s">
        <v>32</v>
      </c>
      <c r="F38" s="6" t="s">
        <v>67</v>
      </c>
      <c r="G38" s="6" t="s">
        <v>16</v>
      </c>
      <c r="H38" s="6" t="s">
        <v>36</v>
      </c>
      <c r="I38" s="13" t="s">
        <v>91</v>
      </c>
      <c r="J38" s="4">
        <v>-2000</v>
      </c>
    </row>
    <row r="39" spans="1:10" ht="30" hidden="1" x14ac:dyDescent="0.25">
      <c r="A39" s="5">
        <v>46239</v>
      </c>
      <c r="B39" s="5">
        <v>46240</v>
      </c>
      <c r="C39" s="16" t="str">
        <f t="shared" si="0"/>
        <v>agosto</v>
      </c>
      <c r="D39" s="6" t="s">
        <v>55</v>
      </c>
      <c r="E39" s="6" t="s">
        <v>32</v>
      </c>
      <c r="F39" s="6" t="s">
        <v>68</v>
      </c>
      <c r="G39" s="6" t="s">
        <v>16</v>
      </c>
      <c r="H39" s="6" t="s">
        <v>36</v>
      </c>
      <c r="I39" s="13" t="s">
        <v>92</v>
      </c>
      <c r="J39" s="4">
        <v>-2000</v>
      </c>
    </row>
    <row r="40" spans="1:10" ht="30" hidden="1" x14ac:dyDescent="0.25">
      <c r="A40" s="5">
        <v>46239</v>
      </c>
      <c r="B40" s="5">
        <v>46240</v>
      </c>
      <c r="C40" s="16" t="str">
        <f t="shared" si="0"/>
        <v>agosto</v>
      </c>
      <c r="D40" s="6" t="s">
        <v>55</v>
      </c>
      <c r="E40" s="6" t="s">
        <v>32</v>
      </c>
      <c r="F40" s="6" t="s">
        <v>68</v>
      </c>
      <c r="G40" s="6" t="s">
        <v>16</v>
      </c>
      <c r="H40" s="6" t="s">
        <v>36</v>
      </c>
      <c r="I40" s="13" t="s">
        <v>93</v>
      </c>
      <c r="J40" s="4">
        <v>-2000</v>
      </c>
    </row>
    <row r="41" spans="1:10" ht="30" hidden="1" x14ac:dyDescent="0.25">
      <c r="A41" s="5">
        <v>46239</v>
      </c>
      <c r="B41" s="5">
        <v>46240</v>
      </c>
      <c r="C41" s="16" t="str">
        <f t="shared" si="0"/>
        <v>agosto</v>
      </c>
      <c r="D41" s="6" t="s">
        <v>55</v>
      </c>
      <c r="E41" s="6" t="s">
        <v>32</v>
      </c>
      <c r="F41" s="6" t="s">
        <v>68</v>
      </c>
      <c r="G41" s="6" t="s">
        <v>16</v>
      </c>
      <c r="H41" s="6" t="s">
        <v>36</v>
      </c>
      <c r="I41" s="13" t="s">
        <v>94</v>
      </c>
      <c r="J41" s="4">
        <v>-2000</v>
      </c>
    </row>
    <row r="42" spans="1:10" ht="30" hidden="1" x14ac:dyDescent="0.25">
      <c r="A42" s="5">
        <v>46251</v>
      </c>
      <c r="B42" s="5">
        <v>46252</v>
      </c>
      <c r="C42" s="16" t="str">
        <f t="shared" si="0"/>
        <v>agosto</v>
      </c>
      <c r="D42" s="6" t="s">
        <v>55</v>
      </c>
      <c r="E42" s="6" t="s">
        <v>32</v>
      </c>
      <c r="F42" s="6" t="s">
        <v>69</v>
      </c>
      <c r="G42" s="6" t="s">
        <v>16</v>
      </c>
      <c r="H42" s="6" t="s">
        <v>36</v>
      </c>
      <c r="I42" s="13" t="s">
        <v>95</v>
      </c>
      <c r="J42" s="4">
        <v>-5000</v>
      </c>
    </row>
    <row r="43" spans="1:10" ht="30" hidden="1" x14ac:dyDescent="0.25">
      <c r="A43" s="5">
        <v>46251</v>
      </c>
      <c r="B43" s="5">
        <v>46252</v>
      </c>
      <c r="C43" s="16" t="str">
        <f t="shared" si="0"/>
        <v>agosto</v>
      </c>
      <c r="D43" s="6" t="s">
        <v>55</v>
      </c>
      <c r="E43" s="6" t="s">
        <v>32</v>
      </c>
      <c r="F43" s="6" t="s">
        <v>70</v>
      </c>
      <c r="G43" s="6" t="s">
        <v>16</v>
      </c>
      <c r="H43" s="6" t="s">
        <v>36</v>
      </c>
      <c r="I43" s="13" t="s">
        <v>96</v>
      </c>
      <c r="J43" s="4">
        <v>-2000</v>
      </c>
    </row>
    <row r="44" spans="1:10" ht="30" hidden="1" x14ac:dyDescent="0.25">
      <c r="A44" s="5">
        <v>46251</v>
      </c>
      <c r="B44" s="5">
        <v>46252</v>
      </c>
      <c r="C44" s="16" t="str">
        <f t="shared" si="0"/>
        <v>agosto</v>
      </c>
      <c r="D44" s="6" t="s">
        <v>55</v>
      </c>
      <c r="E44" s="6" t="s">
        <v>32</v>
      </c>
      <c r="F44" s="6" t="s">
        <v>71</v>
      </c>
      <c r="G44" s="6" t="s">
        <v>16</v>
      </c>
      <c r="H44" s="6" t="s">
        <v>36</v>
      </c>
      <c r="I44" s="13" t="s">
        <v>97</v>
      </c>
      <c r="J44" s="4">
        <v>-5000</v>
      </c>
    </row>
    <row r="45" spans="1:10" ht="30" hidden="1" x14ac:dyDescent="0.25">
      <c r="A45" s="5">
        <v>46251</v>
      </c>
      <c r="B45" s="5">
        <v>46252</v>
      </c>
      <c r="C45" s="16" t="str">
        <f t="shared" si="0"/>
        <v>agosto</v>
      </c>
      <c r="D45" s="6" t="s">
        <v>55</v>
      </c>
      <c r="E45" s="6" t="s">
        <v>32</v>
      </c>
      <c r="F45" s="6" t="s">
        <v>72</v>
      </c>
      <c r="G45" s="6" t="s">
        <v>16</v>
      </c>
      <c r="H45" s="6" t="s">
        <v>36</v>
      </c>
      <c r="I45" s="13" t="s">
        <v>98</v>
      </c>
      <c r="J45" s="4">
        <v>-5000</v>
      </c>
    </row>
    <row r="46" spans="1:10" ht="30" hidden="1" x14ac:dyDescent="0.25">
      <c r="A46" s="5">
        <v>46268</v>
      </c>
      <c r="B46" s="5">
        <v>46269</v>
      </c>
      <c r="C46" s="16" t="str">
        <f t="shared" si="0"/>
        <v>setembro</v>
      </c>
      <c r="D46" s="6" t="s">
        <v>55</v>
      </c>
      <c r="E46" s="6" t="s">
        <v>32</v>
      </c>
      <c r="F46" s="6" t="s">
        <v>73</v>
      </c>
      <c r="G46" s="6" t="s">
        <v>16</v>
      </c>
      <c r="H46" s="6" t="s">
        <v>36</v>
      </c>
      <c r="I46" s="13" t="s">
        <v>99</v>
      </c>
      <c r="J46" s="4">
        <v>-12000</v>
      </c>
    </row>
    <row r="47" spans="1:10" ht="30" hidden="1" x14ac:dyDescent="0.25">
      <c r="A47" s="5">
        <v>46273</v>
      </c>
      <c r="B47" s="5">
        <v>46274</v>
      </c>
      <c r="C47" s="16" t="str">
        <f t="shared" si="0"/>
        <v>setembro</v>
      </c>
      <c r="D47" s="6" t="s">
        <v>55</v>
      </c>
      <c r="E47" s="6" t="s">
        <v>32</v>
      </c>
      <c r="F47" s="6" t="s">
        <v>74</v>
      </c>
      <c r="G47" s="6" t="s">
        <v>16</v>
      </c>
      <c r="H47" s="6" t="s">
        <v>36</v>
      </c>
      <c r="I47" s="13" t="s">
        <v>100</v>
      </c>
      <c r="J47" s="4">
        <v>-5000</v>
      </c>
    </row>
    <row r="48" spans="1:10" ht="30" hidden="1" x14ac:dyDescent="0.25">
      <c r="A48" s="5">
        <v>46273</v>
      </c>
      <c r="B48" s="5">
        <v>46274</v>
      </c>
      <c r="C48" s="16" t="str">
        <f t="shared" si="0"/>
        <v>setembro</v>
      </c>
      <c r="D48" s="6" t="s">
        <v>55</v>
      </c>
      <c r="E48" s="6" t="s">
        <v>32</v>
      </c>
      <c r="F48" s="6" t="s">
        <v>75</v>
      </c>
      <c r="G48" s="6" t="s">
        <v>16</v>
      </c>
      <c r="H48" s="6" t="s">
        <v>36</v>
      </c>
      <c r="I48" s="13" t="s">
        <v>101</v>
      </c>
      <c r="J48" s="4">
        <v>-2000</v>
      </c>
    </row>
    <row r="49" spans="1:10" ht="30" hidden="1" x14ac:dyDescent="0.25">
      <c r="A49" s="5">
        <v>46273</v>
      </c>
      <c r="B49" s="5">
        <v>46274</v>
      </c>
      <c r="C49" s="16" t="str">
        <f t="shared" si="0"/>
        <v>setembro</v>
      </c>
      <c r="D49" s="6" t="s">
        <v>55</v>
      </c>
      <c r="E49" s="6" t="s">
        <v>32</v>
      </c>
      <c r="F49" s="6" t="s">
        <v>76</v>
      </c>
      <c r="G49" s="6" t="s">
        <v>16</v>
      </c>
      <c r="H49" s="6" t="s">
        <v>36</v>
      </c>
      <c r="I49" s="13" t="s">
        <v>102</v>
      </c>
      <c r="J49" s="4">
        <v>-2000</v>
      </c>
    </row>
    <row r="50" spans="1:10" ht="30" hidden="1" x14ac:dyDescent="0.25">
      <c r="A50" s="5">
        <v>46273</v>
      </c>
      <c r="B50" s="5">
        <v>46274</v>
      </c>
      <c r="C50" s="16" t="str">
        <f t="shared" si="0"/>
        <v>setembro</v>
      </c>
      <c r="D50" s="6" t="s">
        <v>55</v>
      </c>
      <c r="E50" s="6" t="s">
        <v>32</v>
      </c>
      <c r="F50" s="6" t="s">
        <v>77</v>
      </c>
      <c r="G50" s="6" t="s">
        <v>16</v>
      </c>
      <c r="H50" s="6" t="s">
        <v>36</v>
      </c>
      <c r="I50" s="13" t="s">
        <v>103</v>
      </c>
      <c r="J50" s="4">
        <v>-7000</v>
      </c>
    </row>
    <row r="51" spans="1:10" ht="30" hidden="1" x14ac:dyDescent="0.25">
      <c r="A51" s="5">
        <v>46273</v>
      </c>
      <c r="B51" s="5">
        <v>46274</v>
      </c>
      <c r="C51" s="16" t="str">
        <f t="shared" si="0"/>
        <v>setembro</v>
      </c>
      <c r="D51" s="6" t="s">
        <v>55</v>
      </c>
      <c r="E51" s="6" t="s">
        <v>32</v>
      </c>
      <c r="F51" s="6" t="s">
        <v>78</v>
      </c>
      <c r="G51" s="6" t="s">
        <v>16</v>
      </c>
      <c r="H51" s="6" t="s">
        <v>36</v>
      </c>
      <c r="I51" s="13" t="s">
        <v>104</v>
      </c>
      <c r="J51" s="4">
        <v>-7000</v>
      </c>
    </row>
    <row r="52" spans="1:10" ht="30" hidden="1" x14ac:dyDescent="0.25">
      <c r="A52" s="5">
        <v>46273</v>
      </c>
      <c r="B52" s="5">
        <v>46274</v>
      </c>
      <c r="C52" s="16" t="str">
        <f t="shared" si="0"/>
        <v>setembro</v>
      </c>
      <c r="D52" s="6" t="s">
        <v>55</v>
      </c>
      <c r="E52" s="6" t="s">
        <v>32</v>
      </c>
      <c r="F52" s="6" t="s">
        <v>79</v>
      </c>
      <c r="G52" s="6" t="s">
        <v>16</v>
      </c>
      <c r="H52" s="6" t="s">
        <v>36</v>
      </c>
      <c r="I52" s="13" t="s">
        <v>105</v>
      </c>
      <c r="J52" s="4">
        <v>-5000</v>
      </c>
    </row>
    <row r="53" spans="1:10" ht="30" hidden="1" x14ac:dyDescent="0.25">
      <c r="A53" s="5">
        <v>46273</v>
      </c>
      <c r="B53" s="5">
        <v>46274</v>
      </c>
      <c r="C53" s="16" t="str">
        <f t="shared" si="0"/>
        <v>setembro</v>
      </c>
      <c r="D53" s="6" t="s">
        <v>55</v>
      </c>
      <c r="E53" s="6" t="s">
        <v>32</v>
      </c>
      <c r="F53" s="6" t="s">
        <v>80</v>
      </c>
      <c r="G53" s="6" t="s">
        <v>16</v>
      </c>
      <c r="H53" s="6" t="s">
        <v>36</v>
      </c>
      <c r="I53" s="13" t="s">
        <v>106</v>
      </c>
      <c r="J53" s="4">
        <v>-5000</v>
      </c>
    </row>
    <row r="54" spans="1:10" ht="30" hidden="1" x14ac:dyDescent="0.25">
      <c r="A54" s="5">
        <v>46274</v>
      </c>
      <c r="B54" s="5">
        <v>46276</v>
      </c>
      <c r="C54" s="16" t="str">
        <f t="shared" si="0"/>
        <v>setembro</v>
      </c>
      <c r="D54" s="6" t="s">
        <v>55</v>
      </c>
      <c r="E54" s="6" t="s">
        <v>32</v>
      </c>
      <c r="F54" s="6" t="s">
        <v>81</v>
      </c>
      <c r="G54" s="6" t="s">
        <v>16</v>
      </c>
      <c r="H54" s="6" t="s">
        <v>36</v>
      </c>
      <c r="I54" s="13" t="s">
        <v>107</v>
      </c>
      <c r="J54" s="4">
        <v>-2000</v>
      </c>
    </row>
    <row r="55" spans="1:10" ht="30" hidden="1" x14ac:dyDescent="0.25">
      <c r="A55" s="5">
        <v>46274</v>
      </c>
      <c r="B55" s="5">
        <v>46276</v>
      </c>
      <c r="C55" s="16" t="str">
        <f t="shared" si="0"/>
        <v>setembro</v>
      </c>
      <c r="D55" s="6" t="s">
        <v>55</v>
      </c>
      <c r="E55" s="6" t="s">
        <v>32</v>
      </c>
      <c r="F55" s="6" t="s">
        <v>82</v>
      </c>
      <c r="G55" s="6" t="s">
        <v>16</v>
      </c>
      <c r="H55" s="6" t="s">
        <v>36</v>
      </c>
      <c r="I55" s="13" t="s">
        <v>108</v>
      </c>
      <c r="J55" s="4">
        <v>-5000</v>
      </c>
    </row>
    <row r="56" spans="1:10" ht="45" hidden="1" x14ac:dyDescent="0.25">
      <c r="A56" s="5">
        <v>46220</v>
      </c>
      <c r="B56" s="5">
        <v>46220</v>
      </c>
      <c r="C56" s="16" t="str">
        <f t="shared" si="0"/>
        <v>julho</v>
      </c>
      <c r="D56" s="12" t="s">
        <v>55</v>
      </c>
      <c r="E56" s="6" t="s">
        <v>45</v>
      </c>
      <c r="F56" s="6" t="s">
        <v>110</v>
      </c>
      <c r="G56" s="6" t="s">
        <v>16</v>
      </c>
      <c r="H56" s="6" t="s">
        <v>46</v>
      </c>
      <c r="I56" s="13" t="s">
        <v>109</v>
      </c>
      <c r="J56" s="4">
        <v>-3.16</v>
      </c>
    </row>
    <row r="57" spans="1:10" ht="45" hidden="1" x14ac:dyDescent="0.25">
      <c r="A57" s="5">
        <v>46238</v>
      </c>
      <c r="B57" s="5">
        <v>46238</v>
      </c>
      <c r="C57" s="16" t="str">
        <f t="shared" si="0"/>
        <v>agosto</v>
      </c>
      <c r="D57" s="12" t="s">
        <v>55</v>
      </c>
      <c r="E57" s="6" t="s">
        <v>45</v>
      </c>
      <c r="F57" s="6" t="s">
        <v>111</v>
      </c>
      <c r="G57" s="6" t="s">
        <v>16</v>
      </c>
      <c r="H57" s="6" t="s">
        <v>46</v>
      </c>
      <c r="I57" s="13" t="s">
        <v>109</v>
      </c>
      <c r="J57" s="4">
        <v>-34.5</v>
      </c>
    </row>
    <row r="58" spans="1:10" ht="45" hidden="1" x14ac:dyDescent="0.25">
      <c r="A58" s="5">
        <v>46252</v>
      </c>
      <c r="B58" s="5">
        <v>46252</v>
      </c>
      <c r="C58" s="16" t="str">
        <f t="shared" si="0"/>
        <v>agosto</v>
      </c>
      <c r="D58" s="12" t="s">
        <v>55</v>
      </c>
      <c r="E58" s="6" t="s">
        <v>45</v>
      </c>
      <c r="F58" s="6" t="s">
        <v>112</v>
      </c>
      <c r="G58" s="6" t="s">
        <v>16</v>
      </c>
      <c r="H58" s="6" t="s">
        <v>46</v>
      </c>
      <c r="I58" s="13" t="s">
        <v>109</v>
      </c>
      <c r="J58" s="4">
        <v>-12.64</v>
      </c>
    </row>
    <row r="59" spans="1:10" ht="45" hidden="1" x14ac:dyDescent="0.25">
      <c r="A59" s="5">
        <v>46240</v>
      </c>
      <c r="B59" s="5">
        <v>46240</v>
      </c>
      <c r="C59" s="16" t="str">
        <f t="shared" si="0"/>
        <v>agosto</v>
      </c>
      <c r="D59" s="12" t="s">
        <v>55</v>
      </c>
      <c r="E59" s="6" t="s">
        <v>45</v>
      </c>
      <c r="F59" s="6" t="s">
        <v>113</v>
      </c>
      <c r="G59" s="6" t="s">
        <v>16</v>
      </c>
      <c r="H59" s="6" t="s">
        <v>46</v>
      </c>
      <c r="I59" s="13" t="s">
        <v>109</v>
      </c>
      <c r="J59" s="4">
        <v>-28.44</v>
      </c>
    </row>
    <row r="60" spans="1:10" ht="45" hidden="1" x14ac:dyDescent="0.25">
      <c r="A60" s="5">
        <v>46267</v>
      </c>
      <c r="B60" s="5">
        <v>46267</v>
      </c>
      <c r="C60" s="16" t="str">
        <f t="shared" si="0"/>
        <v>setembro</v>
      </c>
      <c r="D60" s="12" t="s">
        <v>55</v>
      </c>
      <c r="E60" s="6" t="s">
        <v>45</v>
      </c>
      <c r="F60" s="6" t="s">
        <v>114</v>
      </c>
      <c r="G60" s="6" t="s">
        <v>16</v>
      </c>
      <c r="H60" s="6" t="s">
        <v>46</v>
      </c>
      <c r="I60" s="13" t="s">
        <v>109</v>
      </c>
      <c r="J60" s="4">
        <v>-34.5</v>
      </c>
    </row>
    <row r="61" spans="1:10" ht="45" hidden="1" x14ac:dyDescent="0.25">
      <c r="A61" s="5">
        <v>46269</v>
      </c>
      <c r="B61" s="5">
        <v>46269</v>
      </c>
      <c r="C61" s="16" t="str">
        <f t="shared" si="0"/>
        <v>setembro</v>
      </c>
      <c r="D61" s="12" t="s">
        <v>55</v>
      </c>
      <c r="E61" s="6" t="s">
        <v>45</v>
      </c>
      <c r="F61" s="6" t="s">
        <v>115</v>
      </c>
      <c r="G61" s="6" t="s">
        <v>16</v>
      </c>
      <c r="H61" s="6" t="s">
        <v>46</v>
      </c>
      <c r="I61" s="13" t="s">
        <v>109</v>
      </c>
      <c r="J61" s="4">
        <v>-3.16</v>
      </c>
    </row>
    <row r="62" spans="1:10" ht="45" hidden="1" x14ac:dyDescent="0.25">
      <c r="A62" s="5">
        <v>46276</v>
      </c>
      <c r="B62" s="5">
        <v>46276</v>
      </c>
      <c r="C62" s="16" t="str">
        <f t="shared" si="0"/>
        <v>setembro</v>
      </c>
      <c r="D62" s="12" t="s">
        <v>55</v>
      </c>
      <c r="E62" s="6" t="s">
        <v>45</v>
      </c>
      <c r="F62" s="6" t="s">
        <v>116</v>
      </c>
      <c r="G62" s="6" t="s">
        <v>16</v>
      </c>
      <c r="H62" s="6" t="s">
        <v>46</v>
      </c>
      <c r="I62" s="13" t="s">
        <v>109</v>
      </c>
      <c r="J62" s="4">
        <v>-6.32</v>
      </c>
    </row>
    <row r="63" spans="1:10" ht="45" hidden="1" x14ac:dyDescent="0.25">
      <c r="A63" s="5">
        <v>46274</v>
      </c>
      <c r="B63" s="5">
        <v>46274</v>
      </c>
      <c r="C63" s="16" t="str">
        <f t="shared" si="0"/>
        <v>setembro</v>
      </c>
      <c r="D63" s="12" t="s">
        <v>55</v>
      </c>
      <c r="E63" s="6" t="s">
        <v>45</v>
      </c>
      <c r="F63" s="6" t="s">
        <v>117</v>
      </c>
      <c r="G63" s="6" t="s">
        <v>16</v>
      </c>
      <c r="H63" s="6" t="s">
        <v>46</v>
      </c>
      <c r="I63" s="13" t="s">
        <v>109</v>
      </c>
      <c r="J63" s="4">
        <v>-18.96</v>
      </c>
    </row>
    <row r="64" spans="1:10" ht="30" hidden="1" x14ac:dyDescent="0.25">
      <c r="A64" s="5">
        <v>46203</v>
      </c>
      <c r="B64" s="5">
        <v>46203</v>
      </c>
      <c r="C64" s="16" t="str">
        <f t="shared" si="0"/>
        <v>junho</v>
      </c>
      <c r="D64" s="6" t="s">
        <v>118</v>
      </c>
      <c r="E64" s="6" t="s">
        <v>119</v>
      </c>
      <c r="F64" s="6" t="s">
        <v>120</v>
      </c>
      <c r="G64" s="6" t="s">
        <v>1</v>
      </c>
      <c r="H64" s="6" t="s">
        <v>25</v>
      </c>
      <c r="I64" s="13" t="s">
        <v>124</v>
      </c>
      <c r="J64" s="4">
        <v>334.52</v>
      </c>
    </row>
    <row r="65" spans="1:10" ht="30" hidden="1" x14ac:dyDescent="0.25">
      <c r="A65" s="5">
        <v>46234</v>
      </c>
      <c r="B65" s="5">
        <v>46234</v>
      </c>
      <c r="C65" s="16" t="str">
        <f t="shared" si="0"/>
        <v>julho</v>
      </c>
      <c r="D65" s="6" t="s">
        <v>118</v>
      </c>
      <c r="E65" s="6" t="s">
        <v>119</v>
      </c>
      <c r="F65" s="6" t="s">
        <v>121</v>
      </c>
      <c r="G65" s="6" t="s">
        <v>1</v>
      </c>
      <c r="H65" s="6" t="s">
        <v>25</v>
      </c>
      <c r="I65" s="13" t="s">
        <v>24</v>
      </c>
      <c r="J65" s="4">
        <v>972.5</v>
      </c>
    </row>
    <row r="66" spans="1:10" ht="30" hidden="1" x14ac:dyDescent="0.25">
      <c r="A66" s="5">
        <v>46234</v>
      </c>
      <c r="B66" s="5">
        <v>46234</v>
      </c>
      <c r="C66" s="16" t="str">
        <f t="shared" si="0"/>
        <v>julho</v>
      </c>
      <c r="D66" s="6" t="s">
        <v>118</v>
      </c>
      <c r="E66" s="6" t="s">
        <v>119</v>
      </c>
      <c r="F66" s="6" t="s">
        <v>121</v>
      </c>
      <c r="G66" s="6" t="s">
        <v>16</v>
      </c>
      <c r="H66" s="6" t="s">
        <v>26</v>
      </c>
      <c r="I66" s="13" t="s">
        <v>24</v>
      </c>
      <c r="J66" s="4">
        <v>-0.01</v>
      </c>
    </row>
    <row r="67" spans="1:10" ht="30" hidden="1" x14ac:dyDescent="0.25">
      <c r="A67" s="5">
        <v>46234</v>
      </c>
      <c r="B67" s="5">
        <v>46234</v>
      </c>
      <c r="C67" s="16" t="str">
        <f t="shared" ref="C67:C84" si="1">TEXT(B67,"mmmm")</f>
        <v>julho</v>
      </c>
      <c r="D67" s="6" t="s">
        <v>118</v>
      </c>
      <c r="E67" s="6" t="s">
        <v>119</v>
      </c>
      <c r="F67" s="6" t="s">
        <v>121</v>
      </c>
      <c r="G67" s="6" t="s">
        <v>16</v>
      </c>
      <c r="H67" s="6" t="s">
        <v>27</v>
      </c>
      <c r="I67" s="13" t="s">
        <v>24</v>
      </c>
      <c r="J67" s="4">
        <v>-7.0000000000000007E-2</v>
      </c>
    </row>
    <row r="68" spans="1:10" ht="30" hidden="1" x14ac:dyDescent="0.25">
      <c r="A68" s="5">
        <v>46265</v>
      </c>
      <c r="B68" s="5">
        <v>46265</v>
      </c>
      <c r="C68" s="16" t="str">
        <f t="shared" si="1"/>
        <v>agosto</v>
      </c>
      <c r="D68" s="6" t="s">
        <v>118</v>
      </c>
      <c r="E68" s="6" t="s">
        <v>119</v>
      </c>
      <c r="F68" s="6" t="s">
        <v>122</v>
      </c>
      <c r="G68" s="6" t="s">
        <v>1</v>
      </c>
      <c r="H68" s="6" t="s">
        <v>25</v>
      </c>
      <c r="I68" s="13" t="s">
        <v>28</v>
      </c>
      <c r="J68" s="4">
        <v>859.45</v>
      </c>
    </row>
    <row r="69" spans="1:10" ht="30" hidden="1" x14ac:dyDescent="0.25">
      <c r="A69" s="5">
        <v>46265</v>
      </c>
      <c r="B69" s="5">
        <v>46265</v>
      </c>
      <c r="C69" s="16" t="str">
        <f t="shared" si="1"/>
        <v>agosto</v>
      </c>
      <c r="D69" s="6" t="s">
        <v>118</v>
      </c>
      <c r="E69" s="6" t="s">
        <v>119</v>
      </c>
      <c r="F69" s="6" t="s">
        <v>122</v>
      </c>
      <c r="G69" s="6" t="s">
        <v>16</v>
      </c>
      <c r="H69" s="6" t="s">
        <v>26</v>
      </c>
      <c r="I69" s="13" t="s">
        <v>29</v>
      </c>
      <c r="J69" s="4">
        <v>-14.42</v>
      </c>
    </row>
    <row r="70" spans="1:10" ht="30" hidden="1" x14ac:dyDescent="0.25">
      <c r="A70" s="5">
        <v>46286</v>
      </c>
      <c r="B70" s="5">
        <v>46286</v>
      </c>
      <c r="C70" s="16" t="str">
        <f t="shared" si="1"/>
        <v>setembro</v>
      </c>
      <c r="D70" s="6" t="s">
        <v>118</v>
      </c>
      <c r="E70" s="6" t="s">
        <v>119</v>
      </c>
      <c r="F70" s="6" t="s">
        <v>123</v>
      </c>
      <c r="G70" s="6" t="s">
        <v>1</v>
      </c>
      <c r="H70" s="6" t="s">
        <v>25</v>
      </c>
      <c r="I70" s="13" t="s">
        <v>30</v>
      </c>
      <c r="J70" s="4">
        <v>535.78</v>
      </c>
    </row>
    <row r="71" spans="1:10" ht="30" hidden="1" x14ac:dyDescent="0.25">
      <c r="A71" s="5">
        <v>46286</v>
      </c>
      <c r="B71" s="5">
        <v>46286</v>
      </c>
      <c r="C71" s="16" t="str">
        <f t="shared" si="1"/>
        <v>setembro</v>
      </c>
      <c r="D71" s="6" t="s">
        <v>118</v>
      </c>
      <c r="E71" s="6" t="s">
        <v>119</v>
      </c>
      <c r="F71" s="6" t="s">
        <v>123</v>
      </c>
      <c r="G71" s="6" t="s">
        <v>16</v>
      </c>
      <c r="H71" s="6" t="s">
        <v>26</v>
      </c>
      <c r="I71" s="13" t="s">
        <v>31</v>
      </c>
      <c r="J71" s="4">
        <v>-32.07</v>
      </c>
    </row>
    <row r="72" spans="1:10" ht="60" hidden="1" x14ac:dyDescent="0.25">
      <c r="A72" s="5">
        <v>46189</v>
      </c>
      <c r="B72" s="5">
        <v>46190</v>
      </c>
      <c r="C72" s="16" t="str">
        <f t="shared" si="1"/>
        <v>junho</v>
      </c>
      <c r="D72" s="6" t="s">
        <v>118</v>
      </c>
      <c r="E72" s="6" t="s">
        <v>13</v>
      </c>
      <c r="F72" s="6" t="s">
        <v>126</v>
      </c>
      <c r="G72" s="6" t="s">
        <v>1</v>
      </c>
      <c r="H72" s="6" t="s">
        <v>15</v>
      </c>
      <c r="I72" s="13" t="s">
        <v>125</v>
      </c>
      <c r="J72" s="4">
        <v>103000</v>
      </c>
    </row>
    <row r="73" spans="1:10" ht="30" hidden="1" x14ac:dyDescent="0.25">
      <c r="A73" s="5">
        <v>46239</v>
      </c>
      <c r="B73" s="5">
        <v>46240</v>
      </c>
      <c r="C73" s="16" t="str">
        <f t="shared" si="1"/>
        <v>agosto</v>
      </c>
      <c r="D73" s="6" t="s">
        <v>118</v>
      </c>
      <c r="E73" s="6" t="s">
        <v>32</v>
      </c>
      <c r="F73" s="6" t="s">
        <v>132</v>
      </c>
      <c r="G73" s="6" t="s">
        <v>16</v>
      </c>
      <c r="H73" s="6" t="s">
        <v>36</v>
      </c>
      <c r="I73" s="13" t="s">
        <v>127</v>
      </c>
      <c r="J73" s="4">
        <v>-2000</v>
      </c>
    </row>
    <row r="74" spans="1:10" ht="30" hidden="1" x14ac:dyDescent="0.25">
      <c r="A74" s="5">
        <v>46251</v>
      </c>
      <c r="B74" s="5">
        <v>46252</v>
      </c>
      <c r="C74" s="16" t="str">
        <f t="shared" si="1"/>
        <v>agosto</v>
      </c>
      <c r="D74" s="6" t="s">
        <v>118</v>
      </c>
      <c r="E74" s="6" t="s">
        <v>32</v>
      </c>
      <c r="F74" s="6" t="s">
        <v>133</v>
      </c>
      <c r="G74" s="6" t="s">
        <v>16</v>
      </c>
      <c r="H74" s="6" t="s">
        <v>36</v>
      </c>
      <c r="I74" s="13" t="s">
        <v>128</v>
      </c>
      <c r="J74" s="4">
        <v>-2125</v>
      </c>
    </row>
    <row r="75" spans="1:10" ht="30" hidden="1" x14ac:dyDescent="0.25">
      <c r="A75" s="5">
        <v>46273</v>
      </c>
      <c r="B75" s="5">
        <v>46274</v>
      </c>
      <c r="C75" s="16" t="str">
        <f t="shared" si="1"/>
        <v>setembro</v>
      </c>
      <c r="D75" s="6" t="s">
        <v>118</v>
      </c>
      <c r="E75" s="6" t="s">
        <v>32</v>
      </c>
      <c r="F75" s="6" t="s">
        <v>134</v>
      </c>
      <c r="G75" s="6" t="s">
        <v>16</v>
      </c>
      <c r="H75" s="6" t="s">
        <v>36</v>
      </c>
      <c r="I75" s="13" t="s">
        <v>129</v>
      </c>
      <c r="J75" s="4">
        <v>-2000</v>
      </c>
    </row>
    <row r="76" spans="1:10" ht="30" hidden="1" x14ac:dyDescent="0.25">
      <c r="A76" s="5">
        <v>46273</v>
      </c>
      <c r="B76" s="5">
        <v>46274</v>
      </c>
      <c r="C76" s="16" t="str">
        <f t="shared" si="1"/>
        <v>setembro</v>
      </c>
      <c r="D76" s="6" t="s">
        <v>118</v>
      </c>
      <c r="E76" s="6" t="s">
        <v>32</v>
      </c>
      <c r="F76" s="6" t="s">
        <v>135</v>
      </c>
      <c r="G76" s="6" t="s">
        <v>16</v>
      </c>
      <c r="H76" s="6" t="s">
        <v>36</v>
      </c>
      <c r="I76" s="13" t="s">
        <v>130</v>
      </c>
      <c r="J76" s="4">
        <v>-2000</v>
      </c>
    </row>
    <row r="77" spans="1:10" ht="30" hidden="1" x14ac:dyDescent="0.25">
      <c r="A77" s="5">
        <v>46274</v>
      </c>
      <c r="B77" s="5">
        <v>46276</v>
      </c>
      <c r="C77" s="16" t="str">
        <f t="shared" si="1"/>
        <v>setembro</v>
      </c>
      <c r="D77" s="6" t="s">
        <v>118</v>
      </c>
      <c r="E77" s="6" t="s">
        <v>32</v>
      </c>
      <c r="F77" s="6" t="s">
        <v>136</v>
      </c>
      <c r="G77" s="6" t="s">
        <v>16</v>
      </c>
      <c r="H77" s="6" t="s">
        <v>36</v>
      </c>
      <c r="I77" s="13" t="s">
        <v>131</v>
      </c>
      <c r="J77" s="4">
        <v>-2125</v>
      </c>
    </row>
    <row r="78" spans="1:10" ht="30" hidden="1" x14ac:dyDescent="0.25">
      <c r="A78" s="5">
        <v>46205</v>
      </c>
      <c r="B78" s="5">
        <v>46205</v>
      </c>
      <c r="C78" s="16" t="str">
        <f t="shared" si="1"/>
        <v>julho</v>
      </c>
      <c r="D78" s="6" t="s">
        <v>118</v>
      </c>
      <c r="E78" s="6" t="s">
        <v>45</v>
      </c>
      <c r="F78" s="6" t="s">
        <v>138</v>
      </c>
      <c r="G78" s="6" t="s">
        <v>16</v>
      </c>
      <c r="H78" s="6" t="s">
        <v>46</v>
      </c>
      <c r="I78" s="13" t="s">
        <v>47</v>
      </c>
      <c r="J78" s="4">
        <v>-34.5</v>
      </c>
    </row>
    <row r="79" spans="1:10" ht="45" hidden="1" x14ac:dyDescent="0.25">
      <c r="A79" s="5">
        <v>46238</v>
      </c>
      <c r="B79" s="5">
        <v>46238</v>
      </c>
      <c r="C79" s="16" t="str">
        <f t="shared" si="1"/>
        <v>agosto</v>
      </c>
      <c r="D79" s="6" t="s">
        <v>118</v>
      </c>
      <c r="E79" s="6" t="s">
        <v>45</v>
      </c>
      <c r="F79" s="6" t="s">
        <v>139</v>
      </c>
      <c r="G79" s="6" t="s">
        <v>16</v>
      </c>
      <c r="H79" s="6" t="s">
        <v>46</v>
      </c>
      <c r="I79" s="13" t="s">
        <v>137</v>
      </c>
      <c r="J79" s="4">
        <v>-34.5</v>
      </c>
    </row>
    <row r="80" spans="1:10" ht="45" hidden="1" x14ac:dyDescent="0.25">
      <c r="A80" s="5">
        <v>46240</v>
      </c>
      <c r="B80" s="5">
        <v>46240</v>
      </c>
      <c r="C80" s="16" t="str">
        <f t="shared" si="1"/>
        <v>agosto</v>
      </c>
      <c r="D80" s="6" t="s">
        <v>118</v>
      </c>
      <c r="E80" s="6" t="s">
        <v>45</v>
      </c>
      <c r="F80" s="6" t="s">
        <v>140</v>
      </c>
      <c r="G80" s="6" t="s">
        <v>16</v>
      </c>
      <c r="H80" s="6" t="s">
        <v>46</v>
      </c>
      <c r="I80" s="13" t="s">
        <v>137</v>
      </c>
      <c r="J80" s="4">
        <v>-3.16</v>
      </c>
    </row>
    <row r="81" spans="1:10" ht="45" hidden="1" x14ac:dyDescent="0.25">
      <c r="A81" s="5">
        <v>46252</v>
      </c>
      <c r="B81" s="5">
        <v>46252</v>
      </c>
      <c r="C81" s="16" t="str">
        <f t="shared" si="1"/>
        <v>agosto</v>
      </c>
      <c r="D81" s="6" t="s">
        <v>118</v>
      </c>
      <c r="E81" s="6" t="s">
        <v>45</v>
      </c>
      <c r="F81" s="6" t="s">
        <v>141</v>
      </c>
      <c r="G81" s="6" t="s">
        <v>16</v>
      </c>
      <c r="H81" s="6" t="s">
        <v>46</v>
      </c>
      <c r="I81" s="13" t="s">
        <v>137</v>
      </c>
      <c r="J81" s="4">
        <v>-3.16</v>
      </c>
    </row>
    <row r="82" spans="1:10" ht="45" hidden="1" x14ac:dyDescent="0.25">
      <c r="A82" s="5">
        <v>46267</v>
      </c>
      <c r="B82" s="5">
        <v>46267</v>
      </c>
      <c r="C82" s="16" t="str">
        <f t="shared" si="1"/>
        <v>setembro</v>
      </c>
      <c r="D82" s="6" t="s">
        <v>118</v>
      </c>
      <c r="E82" s="6" t="s">
        <v>45</v>
      </c>
      <c r="F82" s="6" t="s">
        <v>142</v>
      </c>
      <c r="G82" s="6" t="s">
        <v>16</v>
      </c>
      <c r="H82" s="6" t="s">
        <v>46</v>
      </c>
      <c r="I82" s="13" t="s">
        <v>137</v>
      </c>
      <c r="J82" s="4">
        <v>-34.5</v>
      </c>
    </row>
    <row r="83" spans="1:10" ht="45" hidden="1" x14ac:dyDescent="0.25">
      <c r="A83" s="5">
        <v>46276</v>
      </c>
      <c r="B83" s="5">
        <v>46276</v>
      </c>
      <c r="C83" s="16" t="str">
        <f t="shared" si="1"/>
        <v>setembro</v>
      </c>
      <c r="D83" s="6" t="s">
        <v>118</v>
      </c>
      <c r="E83" s="6" t="s">
        <v>45</v>
      </c>
      <c r="F83" s="6" t="s">
        <v>143</v>
      </c>
      <c r="G83" s="6" t="s">
        <v>16</v>
      </c>
      <c r="H83" s="6" t="s">
        <v>46</v>
      </c>
      <c r="I83" s="13" t="s">
        <v>137</v>
      </c>
      <c r="J83" s="4">
        <v>-3.16</v>
      </c>
    </row>
    <row r="84" spans="1:10" ht="45" hidden="1" x14ac:dyDescent="0.25">
      <c r="A84" s="5">
        <v>46274</v>
      </c>
      <c r="B84" s="5">
        <v>46274</v>
      </c>
      <c r="C84" s="16" t="str">
        <f t="shared" si="1"/>
        <v>setembro</v>
      </c>
      <c r="D84" s="6" t="s">
        <v>118</v>
      </c>
      <c r="E84" s="6" t="s">
        <v>45</v>
      </c>
      <c r="F84" s="6" t="s">
        <v>144</v>
      </c>
      <c r="G84" s="6" t="s">
        <v>16</v>
      </c>
      <c r="H84" s="6" t="s">
        <v>46</v>
      </c>
      <c r="I84" s="13" t="s">
        <v>137</v>
      </c>
      <c r="J84" s="4">
        <v>-6.32</v>
      </c>
    </row>
    <row r="85" spans="1:10" x14ac:dyDescent="0.25">
      <c r="A85" s="5"/>
      <c r="B85" s="5"/>
      <c r="C85" s="5"/>
      <c r="D85" s="6"/>
      <c r="E85" s="6"/>
      <c r="F85" s="6"/>
      <c r="G85" s="6"/>
      <c r="H85" s="6"/>
      <c r="I85" s="13"/>
      <c r="J85" s="4"/>
    </row>
  </sheetData>
  <autoFilter ref="A1:J84" xr:uid="{E3F049E5-0281-4D5D-A75B-91688D40DD5E}">
    <filterColumn colId="3">
      <filters>
        <filter val="375 - IFAM 2026-006 - Bio Caroço (15334-6)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C82A-0CC1-4E00-B9C4-66936FBCABD8}">
  <dimension ref="A3:B27"/>
  <sheetViews>
    <sheetView showGridLines="0" workbookViewId="0">
      <selection activeCell="B15" sqref="B15"/>
    </sheetView>
  </sheetViews>
  <sheetFormatPr defaultRowHeight="15" x14ac:dyDescent="0.25"/>
  <cols>
    <col min="1" max="1" width="18.42578125" bestFit="1" customWidth="1"/>
    <col min="2" max="2" width="13.7109375" bestFit="1" customWidth="1"/>
  </cols>
  <sheetData>
    <row r="3" spans="1:2" x14ac:dyDescent="0.25">
      <c r="A3" s="8" t="s">
        <v>145</v>
      </c>
      <c r="B3" t="s">
        <v>146</v>
      </c>
    </row>
    <row r="4" spans="1:2" x14ac:dyDescent="0.25">
      <c r="A4" s="11">
        <v>46189</v>
      </c>
      <c r="B4" s="10">
        <v>103000</v>
      </c>
    </row>
    <row r="5" spans="1:2" x14ac:dyDescent="0.25">
      <c r="A5" s="11">
        <v>46203</v>
      </c>
      <c r="B5" s="10">
        <v>334.52</v>
      </c>
    </row>
    <row r="6" spans="1:2" x14ac:dyDescent="0.25">
      <c r="A6" s="11">
        <v>46205</v>
      </c>
      <c r="B6" s="10">
        <v>-69</v>
      </c>
    </row>
    <row r="7" spans="1:2" x14ac:dyDescent="0.25">
      <c r="A7" s="11">
        <v>46210</v>
      </c>
      <c r="B7" s="10">
        <v>176125</v>
      </c>
    </row>
    <row r="8" spans="1:2" x14ac:dyDescent="0.25">
      <c r="A8" s="11">
        <v>46213</v>
      </c>
      <c r="B8" s="10">
        <v>-2751.7</v>
      </c>
    </row>
    <row r="9" spans="1:2" x14ac:dyDescent="0.25">
      <c r="A9" s="11">
        <v>46219</v>
      </c>
      <c r="B9" s="10">
        <v>-14800</v>
      </c>
    </row>
    <row r="10" spans="1:2" x14ac:dyDescent="0.25">
      <c r="A10" s="11">
        <v>46220</v>
      </c>
      <c r="B10" s="10">
        <v>-3.16</v>
      </c>
    </row>
    <row r="11" spans="1:2" x14ac:dyDescent="0.25">
      <c r="A11" s="11">
        <v>46234</v>
      </c>
      <c r="B11" s="10">
        <v>2108.4499999999998</v>
      </c>
    </row>
    <row r="12" spans="1:2" x14ac:dyDescent="0.25">
      <c r="A12" s="11">
        <v>46238</v>
      </c>
      <c r="B12" s="10">
        <v>-103.5</v>
      </c>
    </row>
    <row r="13" spans="1:2" x14ac:dyDescent="0.25">
      <c r="A13" s="11">
        <v>46239</v>
      </c>
      <c r="B13" s="10">
        <v>-47800</v>
      </c>
    </row>
    <row r="14" spans="1:2" x14ac:dyDescent="0.25">
      <c r="A14" s="11">
        <v>46240</v>
      </c>
      <c r="B14" s="10">
        <v>-31.6</v>
      </c>
    </row>
    <row r="15" spans="1:2" x14ac:dyDescent="0.25">
      <c r="A15" s="11">
        <v>46251</v>
      </c>
      <c r="B15" s="10">
        <v>-19125</v>
      </c>
    </row>
    <row r="16" spans="1:2" x14ac:dyDescent="0.25">
      <c r="A16" s="11">
        <v>46252</v>
      </c>
      <c r="B16" s="10">
        <v>-15.8</v>
      </c>
    </row>
    <row r="17" spans="1:2" x14ac:dyDescent="0.25">
      <c r="A17" s="11">
        <v>46254</v>
      </c>
      <c r="B17" s="10">
        <v>-128.58000000000001</v>
      </c>
    </row>
    <row r="18" spans="1:2" x14ac:dyDescent="0.25">
      <c r="A18" s="11">
        <v>46265</v>
      </c>
      <c r="B18" s="10">
        <v>1650.78</v>
      </c>
    </row>
    <row r="19" spans="1:2" x14ac:dyDescent="0.25">
      <c r="A19" s="11">
        <v>46267</v>
      </c>
      <c r="B19" s="10">
        <v>-103.5</v>
      </c>
    </row>
    <row r="20" spans="1:2" x14ac:dyDescent="0.25">
      <c r="A20" s="11">
        <v>46268</v>
      </c>
      <c r="B20" s="10">
        <v>-12000</v>
      </c>
    </row>
    <row r="21" spans="1:2" x14ac:dyDescent="0.25">
      <c r="A21" s="11">
        <v>46269</v>
      </c>
      <c r="B21" s="10">
        <v>-3.16</v>
      </c>
    </row>
    <row r="22" spans="1:2" x14ac:dyDescent="0.25">
      <c r="A22" s="11">
        <v>46273</v>
      </c>
      <c r="B22" s="10">
        <v>-39800</v>
      </c>
    </row>
    <row r="23" spans="1:2" x14ac:dyDescent="0.25">
      <c r="A23" s="11">
        <v>46274</v>
      </c>
      <c r="B23" s="10">
        <v>-9150.2799999999988</v>
      </c>
    </row>
    <row r="24" spans="1:2" x14ac:dyDescent="0.25">
      <c r="A24" s="11">
        <v>46276</v>
      </c>
      <c r="B24" s="10">
        <v>-9.48</v>
      </c>
    </row>
    <row r="25" spans="1:2" x14ac:dyDescent="0.25">
      <c r="A25" s="11">
        <v>46281</v>
      </c>
      <c r="B25" s="10">
        <v>-128.57</v>
      </c>
    </row>
    <row r="26" spans="1:2" x14ac:dyDescent="0.25">
      <c r="A26" s="11">
        <v>46286</v>
      </c>
      <c r="B26" s="10">
        <v>628.39</v>
      </c>
    </row>
    <row r="27" spans="1:2" x14ac:dyDescent="0.25">
      <c r="A27" s="9" t="s">
        <v>147</v>
      </c>
      <c r="B27" s="10">
        <v>137823.81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extrato_bancario</vt:lpstr>
      <vt:lpstr>dinamic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Geziel Sena Colares</dc:creator>
  <cp:lastModifiedBy>Geziel Sena Colares</cp:lastModifiedBy>
  <dcterms:created xsi:type="dcterms:W3CDTF">2026-10-05T21:44:48Z</dcterms:created>
  <dcterms:modified xsi:type="dcterms:W3CDTF">2026-10-27T22:02:34Z</dcterms:modified>
</cp:coreProperties>
</file>