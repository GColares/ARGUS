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et_execucao_orcamentaria" sheetId="1" state="visible" r:id="rId1"/>
    <sheet xmlns:r="http://schemas.openxmlformats.org/officeDocument/2006/relationships" name="Slide 2 - Saúde do Projeto" sheetId="2" state="visible" r:id="rId2"/>
    <sheet xmlns:r="http://schemas.openxmlformats.org/officeDocument/2006/relationships" name="Slide 3 - Desembolso &amp; Contas" sheetId="3" state="visible" r:id="rId3"/>
    <sheet xmlns:r="http://schemas.openxmlformats.org/officeDocument/2006/relationships" name="Slide 4 - Análise &amp; Atenção" sheetId="4" state="visible" r:id="rId4"/>
  </sheets>
  <externalReferences>
    <externalReference xmlns:r="http://schemas.openxmlformats.org/officeDocument/2006/relationships" r:id="rId5"/>
    <externalReference xmlns:r="http://schemas.openxmlformats.org/officeDocument/2006/relationships"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R$ #,##0.00"/>
    <numFmt numFmtId="166" formatCode="0.0%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Segoe UI"/>
      <b val="1"/>
      <color rgb="001E3A8A"/>
      <sz val="14"/>
    </font>
    <font>
      <name val="Segoe UI"/>
      <i val="1"/>
      <color rgb="00475569"/>
      <sz val="10"/>
    </font>
    <font>
      <name val="Segoe UI"/>
      <b val="1"/>
      <color rgb="00FFFFFF"/>
      <sz val="9"/>
    </font>
    <font>
      <name val="Segoe UI"/>
      <b val="1"/>
      <color rgb="000F172A"/>
      <sz val="16"/>
    </font>
    <font>
      <name val="Segoe UI"/>
      <i val="1"/>
      <color rgb="0064748B"/>
      <sz val="8"/>
    </font>
    <font>
      <name val="Segoe UI"/>
      <b val="1"/>
      <color rgb="00FFFFFF"/>
      <sz val="11"/>
    </font>
    <font>
      <name val="Segoe UI"/>
      <b val="1"/>
      <color rgb="00FFFFFF"/>
      <sz val="10"/>
    </font>
    <font>
      <name val="Segoe UI"/>
      <color rgb="001E293B"/>
      <sz val="10"/>
    </font>
    <font>
      <name val="Segoe UI"/>
      <b val="1"/>
      <color rgb="000F172A"/>
      <sz val="10"/>
    </font>
    <font>
      <name val="Segoe UI"/>
      <b val="1"/>
      <color rgb="001E3A8A"/>
      <sz val="20"/>
    </font>
    <font>
      <name val="Segoe UI"/>
      <b val="1"/>
      <color rgb="00059669"/>
      <sz val="20"/>
    </font>
  </fonts>
  <fills count="14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1E3A8A"/>
        <bgColor rgb="001E3A8A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1FAE5"/>
        <bgColor rgb="00D1FAE5"/>
      </patternFill>
    </fill>
    <fill>
      <patternFill patternType="solid">
        <fgColor rgb="00D97706"/>
        <bgColor rgb="00D97706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</borders>
  <cellStyleXfs count="3">
    <xf numFmtId="0" fontId="1" fillId="0" borderId="0"/>
    <xf numFmtId="44" fontId="1" fillId="0" borderId="0"/>
    <xf numFmtId="9" fontId="1" fillId="0" borderId="0"/>
  </cellStyleXfs>
  <cellXfs count="5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indent="2"/>
    </xf>
    <xf numFmtId="0" fontId="0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2"/>
    </xf>
    <xf numFmtId="0" fontId="0" fillId="0" borderId="0" applyAlignment="1" pivotButton="0" quotePrefix="0" xfId="0">
      <alignment horizontal="left" vertical="center" indent="4"/>
    </xf>
    <xf numFmtId="164" fontId="0" fillId="0" borderId="0" applyAlignment="1" pivotButton="0" quotePrefix="0" xfId="1">
      <alignment horizontal="center" vertical="center"/>
    </xf>
    <xf numFmtId="9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0" fontId="0" fillId="0" borderId="0" applyAlignment="1" pivotButton="0" quotePrefix="0" xfId="2">
      <alignment horizontal="center" vertical="center"/>
    </xf>
    <xf numFmtId="10" fontId="0" fillId="0" borderId="0" applyAlignment="1" pivotButton="0" quotePrefix="0" xfId="0">
      <alignment horizontal="center" vertical="center"/>
    </xf>
    <xf numFmtId="9" fontId="0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165" fontId="10" fillId="0" borderId="1" applyAlignment="1" pivotButton="0" quotePrefix="0" xfId="0">
      <alignment horizontal="right" vertical="center"/>
    </xf>
    <xf numFmtId="166" fontId="10" fillId="0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0" fontId="0" fillId="9" borderId="1" pivotButton="0" quotePrefix="0" xfId="0"/>
    <xf numFmtId="165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center" vertical="center"/>
    </xf>
    <xf numFmtId="0" fontId="11" fillId="10" borderId="2" applyAlignment="1" pivotButton="0" quotePrefix="0" xfId="0">
      <alignment horizontal="left" vertical="center"/>
    </xf>
    <xf numFmtId="0" fontId="0" fillId="10" borderId="2" pivotButton="0" quotePrefix="0" xfId="0"/>
    <xf numFmtId="165" fontId="11" fillId="10" borderId="2" applyAlignment="1" pivotButton="0" quotePrefix="0" xfId="0">
      <alignment horizontal="right" vertical="center"/>
    </xf>
    <xf numFmtId="166" fontId="11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left" vertical="center"/>
    </xf>
    <xf numFmtId="0" fontId="0" fillId="10" borderId="1" pivotButton="0" quotePrefix="0" xfId="0"/>
    <xf numFmtId="165" fontId="11" fillId="10" borderId="1" applyAlignment="1" pivotButton="0" quotePrefix="0" xfId="0">
      <alignment horizontal="right" vertical="center"/>
    </xf>
    <xf numFmtId="0" fontId="8" fillId="6" borderId="0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0" fontId="0" fillId="11" borderId="1" pivotButton="0" quotePrefix="0" xfId="0"/>
    <xf numFmtId="165" fontId="11" fillId="11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6" fontId="11" fillId="9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10" fillId="13" borderId="1" applyAlignment="1" pivotButton="0" quotePrefix="0" xfId="0">
      <alignment horizontal="left" vertical="center" wrapText="1"/>
    </xf>
  </cellXfs>
  <cellStyles count="3">
    <cellStyle name="Normal" xfId="0" builtinId="0"/>
    <cellStyle name="Moeda" xfId="1" builtinId="4"/>
    <cellStyle name="Porcentagem" xfId="2" builtinId="5"/>
  </cellStyles>
  <dxfs count="16">
    <dxf>
      <numFmt numFmtId="14" formatCode="0.00%"/>
      <alignment horizontal="center" vertical="center"/>
    </dxf>
    <dxf>
      <numFmt numFmtId="13" formatCode="0%"/>
      <alignment horizontal="center" vertical="center"/>
    </dxf>
    <dxf>
      <numFmt numFmtId="34" formatCode="_-&quot;R$&quot;\ * #,##0.00_-;\-&quot;R$&quot;\ * #,##0.00_-;_-&quot;R$&quot;\ * &quot;-&quot;??_-;_-@_-"/>
      <alignment horizontal="center" vertical="center"/>
    </dxf>
    <dxf>
      <numFmt numFmtId="34" formatCode="_-&quot;R$&quot;\ * #,##0.00_-;\-&quot;R$&quot;\ * #,##0.00_-;_-&quot;R$&quot;\ * &quot;-&quot;??_-;_-@_-"/>
      <alignment horizontal="center" vertical="center"/>
    </dxf>
    <dxf>
      <numFmt numFmtId="34" formatCode="_-&quot;R$&quot;\ * #,##0.00_-;\-&quot;R$&quot;\ * #,##0.00_-;_-&quot;R$&quot;\ * &quot;-&quot;??_-;_-@_-"/>
      <alignment horizontal="center" vertical="center"/>
    </dxf>
    <dxf>
      <numFmt numFmtId="34" formatCode="_-&quot;R$&quot;\ * #,##0.00_-;\-&quot;R$&quot;\ * #,##0.00_-;_-&quot;R$&quot;\ * &quot;-&quot;??_-;_-@_-"/>
      <alignment horizontal="center" vertical="center"/>
    </dxf>
    <dxf>
      <alignment horizontal="left" vertical="center" indent="2"/>
    </dxf>
    <dxf>
      <numFmt numFmtId="14" formatCode="0.00%"/>
      <alignment horizontal="center" vertical="center"/>
    </dxf>
    <dxf>
      <numFmt numFmtId="14" formatCode="0.00%"/>
      <alignment horizontal="center" vertical="center"/>
    </dxf>
    <dxf>
      <numFmt numFmtId="34" formatCode="_-&quot;R$&quot;\ * #,##0.00_-;\-&quot;R$&quot;\ * #,##0.00_-;_-&quot;R$&quot;\ * &quot;-&quot;??_-;_-@_-"/>
      <alignment horizontal="center" vertical="center"/>
    </dxf>
    <dxf>
      <numFmt numFmtId="34" formatCode="_-&quot;R$&quot;\ * #,##0.00_-;\-&quot;R$&quot;\ * #,##0.00_-;_-&quot;R$&quot;\ * &quot;-&quot;??_-;_-@_-"/>
      <alignment horizontal="center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</dxf>
    <dxf>
      <alignment horizontal="center" vertical="center"/>
    </dxf>
    <dxf>
      <alignment horizontal="left" vertical="center" indent="2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externalLink" Target="/xl/externalLinks/externalLink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%</a:t>
            </a:r>
            <a:r>
              <a:rPr lang="pt-BR" baseline="0"/>
              <a:t xml:space="preserve"> Execução por Rubrica</a:t>
            </a:r>
            <a:endParaRPr lang="pt-BR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lotArea>
      <layout/>
      <radarChart>
        <radarStyle val="marker"/>
        <varyColors val="0"/>
        <ser>
          <idx val="0"/>
          <order val="0"/>
          <tx>
            <strRef>
              <f>det_execucao_orcamentaria!$C$1</f>
              <strCache>
                <ptCount val="1"/>
                <pt idx="0">
                  <v>%Previsto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(det_execucao_orcamentaria!$A$2:$A$7,det_execucao_orcamentaria!$A$9:$A$14)</f>
              <strCache>
                <ptCount val="12"/>
                <pt idx="0">
                  <v>I - Programa de Computador e Equipamento</v>
                </pt>
                <pt idx="1">
                  <v>II - Modernização de Infraestrutura</v>
                </pt>
                <pt idx="2">
                  <v>III - RH Direto</v>
                </pt>
                <pt idx="3">
                  <v>III - RH Indireto</v>
                </pt>
                <pt idx="4">
                  <v>IV - Serviços Técnicos de Terceiros</v>
                </pt>
                <pt idx="5">
                  <v>V - Materiais de Consumo (Protótipo)</v>
                </pt>
                <pt idx="6">
                  <v>DOA (FAEPI)</v>
                </pt>
                <pt idx="7">
                  <v>Fundo de Reserva (IFAM)</v>
                </pt>
                <pt idx="8">
                  <v>ISS</v>
                </pt>
                <pt idx="9">
                  <v>Outros Correlatos (Computação em Nuvem)</v>
                </pt>
                <pt idx="10">
                  <v>Despesas de Suporte Operacional</v>
                </pt>
                <pt idx="11">
                  <v>Tarifas Bancárias</v>
                </pt>
              </strCache>
            </strRef>
          </cat>
          <val>
            <numRef>
              <f>(det_execucao_orcamentaria!$C$2:$C$7,det_execucao_orcamentaria!$C$9:$C$14)</f>
              <numCache>
                <formatCode>0%</formatCode>
                <ptCount val="12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</numCache>
            </numRef>
          </val>
        </ser>
        <ser>
          <idx val="1"/>
          <order val="1"/>
          <tx>
            <strRef>
              <f>det_execucao_orcamentaria!$F$1</f>
              <strCache>
                <ptCount val="1"/>
                <pt idx="0">
                  <v>%execucao_item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(det_execucao_orcamentaria!$A$2:$A$7,det_execucao_orcamentaria!$A$9:$A$14)</f>
              <strCache>
                <ptCount val="12"/>
                <pt idx="0">
                  <v>I - Programa de Computador e Equipamento</v>
                </pt>
                <pt idx="1">
                  <v>II - Modernização de Infraestrutura</v>
                </pt>
                <pt idx="2">
                  <v>III - RH Direto</v>
                </pt>
                <pt idx="3">
                  <v>III - RH Indireto</v>
                </pt>
                <pt idx="4">
                  <v>IV - Serviços Técnicos de Terceiros</v>
                </pt>
                <pt idx="5">
                  <v>V - Materiais de Consumo (Protótipo)</v>
                </pt>
                <pt idx="6">
                  <v>DOA (FAEPI)</v>
                </pt>
                <pt idx="7">
                  <v>Fundo de Reserva (IFAM)</v>
                </pt>
                <pt idx="8">
                  <v>ISS</v>
                </pt>
                <pt idx="9">
                  <v>Outros Correlatos (Computação em Nuvem)</v>
                </pt>
                <pt idx="10">
                  <v>Despesas de Suporte Operacional</v>
                </pt>
                <pt idx="11">
                  <v>Tarifas Bancárias</v>
                </pt>
              </strCache>
            </strRef>
          </cat>
          <val>
            <numRef>
              <f>(det_execucao_orcamentaria!$F$2:$F$7,det_execucao_orcamentaria!$F$9:$F$14)</f>
              <numCache>
                <formatCode>0.00%</formatCode>
                <ptCount val="12"/>
                <pt idx="0">
                  <v>0</v>
                </pt>
                <pt idx="1">
                  <v>0</v>
                </pt>
                <pt idx="2">
                  <v>0.2931222707423581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25.93636363636364</v>
                </pt>
                <pt idx="9">
                  <v>0</v>
                </pt>
                <pt idx="10">
                  <v>0.375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467902912"/>
        <axId val="1467891872"/>
      </radarChart>
      <catAx>
        <axId val="14679029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1467891872"/>
        <crosses val="autoZero"/>
        <auto val="1"/>
        <lblAlgn val="ctr"/>
        <lblOffset val="100"/>
        <noMultiLvlLbl val="0"/>
      </catAx>
      <valAx>
        <axId val="1467891872"/>
        <scaling>
          <orientation val="minMax"/>
        </scaling>
        <delete val="1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crossAx val="1467902912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Execução por Rubrica Orçamentária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'Slide 4 - Análise &amp; Atenção'!E6</f>
            </strRef>
          </tx>
          <spPr>
            <a:ln xmlns:a="http://schemas.openxmlformats.org/drawingml/2006/main">
              <a:prstDash val="solid"/>
            </a:ln>
          </spPr>
          <cat>
            <numRef>
              <f>'Slide 4 - Análise &amp; Atenção'!$B$7:$B$12</f>
            </numRef>
          </cat>
          <val>
            <numRef>
              <f>'Slide 4 - Análise &amp; Atenção'!$E$7:$E$12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Executado</a:t>
                </a:r>
              </a:p>
            </rich>
          </tx>
        </title>
        <numFmt formatCode="0.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Rubrica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7</col>
      <colOff>537881</colOff>
      <row>2</row>
      <rowOff>112058</rowOff>
    </from>
    <to>
      <col>12</col>
      <colOff>1064558</colOff>
      <row>32</row>
      <rowOff>22412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ARGUS\gestao_projetos\execucao_financeira\execucao_orcamentaria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ARGUS\gestao_projetos\execucao_financeira\DISPE&#770;NDIOS%20-%20CV_002-2026%20-%20BIO%20CAROCO%202026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rcamento_empresa"/>
      <sheetName val="orcamento_embrabii"/>
      <sheetName val="orcamento_sebrae"/>
      <sheetName val="orcamento_biocaroco"/>
    </sheetNames>
    <sheetDataSet>
      <sheetData sheetId="0"/>
      <sheetData sheetId="1"/>
      <sheetData sheetId="2"/>
      <sheetData sheetId="3">
        <row r="4">
          <cell r="B4">
            <v>0</v>
          </cell>
        </row>
        <row r="5">
          <cell r="B5">
            <v>0</v>
          </cell>
        </row>
        <row r="6">
          <cell r="B6">
            <v>458000</v>
          </cell>
        </row>
        <row r="8">
          <cell r="B8">
            <v>8937</v>
          </cell>
        </row>
        <row r="9">
          <cell r="B9">
            <v>0</v>
          </cell>
        </row>
        <row r="14">
          <cell r="B14">
            <v>1000</v>
          </cell>
        </row>
        <row r="16">
          <cell r="B16">
            <v>900</v>
          </cell>
        </row>
        <row r="18">
          <cell r="B18">
            <v>60883</v>
          </cell>
        </row>
        <row r="19">
          <cell r="B19">
            <v>11380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PENDIO Geral Empresa"/>
      <sheetName val="Fluxo de Caixa"/>
      <sheetName val="Cronograma Desembolso"/>
      <sheetName val="Pagamento RH e DSO"/>
      <sheetName val="Controle - Remanejamento"/>
    </sheetNames>
    <sheetDataSet>
      <sheetData sheetId="0" refreshError="1"/>
      <sheetData sheetId="1" refreshError="1"/>
      <sheetData sheetId="2">
        <row r="4">
          <cell r="E4">
            <v>0</v>
          </cell>
        </row>
        <row r="5">
          <cell r="E5">
            <v>0</v>
          </cell>
        </row>
        <row r="6">
          <cell r="E6">
            <v>134250</v>
          </cell>
        </row>
        <row r="19">
          <cell r="D19">
            <v>0</v>
          </cell>
          <cell r="E19">
            <v>0</v>
          </cell>
        </row>
        <row r="21">
          <cell r="E21">
            <v>0</v>
          </cell>
        </row>
        <row r="24">
          <cell r="E24">
            <v>8400</v>
          </cell>
        </row>
        <row r="27">
          <cell r="E27">
            <v>0</v>
          </cell>
        </row>
        <row r="28">
          <cell r="D28">
            <v>22400</v>
          </cell>
          <cell r="E28">
            <v>8400</v>
          </cell>
        </row>
        <row r="30">
          <cell r="E30">
            <v>0</v>
          </cell>
        </row>
        <row r="31">
          <cell r="E31">
            <v>0</v>
          </cell>
        </row>
        <row r="32">
          <cell r="E32">
            <v>0</v>
          </cell>
        </row>
        <row r="33">
          <cell r="E33">
            <v>142650</v>
          </cell>
        </row>
      </sheetData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id="1" name="det_execucao_orcamentaria" displayName="det_execucao_orcamentaria" ref="A1:G15" headerRowCount="1" totalsRowCount="1" headerRowDxfId="15" dataDxfId="14">
  <autoFilter ref="A1:G14"/>
  <tableColumns count="7">
    <tableColumn id="1" name="Rubrica" totalsRowLabel="Total" dataDxfId="13" totalsRowDxfId="6"/>
    <tableColumn id="2" name="Previsto" totalsRowFunction="sum" dataDxfId="12" totalsRowDxfId="5" dataCellStyle="Moeda"/>
    <tableColumn id="8" name="%Previsto" dataDxfId="11" totalsRowDxfId="4" dataCellStyle="Moeda"/>
    <tableColumn id="3" name="Executado" totalsRowFunction="sum" dataDxfId="10" totalsRowDxfId="3" dataCellStyle="Moeda">
      <calculatedColumnFormula>'[2]Cronograma Desembolso'!$E$5</calculatedColumnFormula>
    </tableColumn>
    <tableColumn id="4" name="Disponível" totalsRowFunction="sum" dataDxfId="9" totalsRowDxfId="2" dataCellStyle="Moeda">
      <calculatedColumnFormula>det_execucao_orcamentaria[[#This Row],[Previsto]]-det_execucao_orcamentaria[[#This Row],[Executado]]</calculatedColumnFormula>
    </tableColumn>
    <tableColumn id="5" name="%execucao_item" dataDxfId="8" totalsRowDxfId="1" dataCellStyle="Porcentagem">
      <calculatedColumnFormula>IF(det_execucao_orcamentaria[[#This Row],[Previsto]]=0,"",det_execucao_orcamentaria[[#This Row],[Executado]]/det_execucao_orcamentaria[[#This Row],[Previsto]])</calculatedColumnFormula>
    </tableColumn>
    <tableColumn id="6" name="%execucao_geral" totalsRowFunction="sum" dataDxfId="7" totalsRowDxfId="0" dataCellStyle="Porcentagem">
      <calculatedColumnFormula>det_execucao_orcamentaria[[#This Row],[Executado]]/det_execucao_orcamentaria[[#Totals],[Previsto]]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tabSelected="1" zoomScale="85" zoomScaleNormal="85" workbookViewId="0">
      <selection activeCell="G13" sqref="G13"/>
    </sheetView>
  </sheetViews>
  <sheetFormatPr baseColWidth="8" defaultColWidth="20.7109375" defaultRowHeight="15"/>
  <cols>
    <col width="45.85546875" bestFit="1" customWidth="1" style="2" min="1" max="1"/>
    <col width="14.28515625" bestFit="1" customWidth="1" style="1" min="2" max="2"/>
    <col width="14.28515625" customWidth="1" style="1" min="3" max="3"/>
    <col width="14.7109375" bestFit="1" customWidth="1" style="1" min="4" max="4"/>
    <col width="15" bestFit="1" customWidth="1" style="1" min="5" max="5"/>
    <col width="20.7109375" customWidth="1" style="1" min="6" max="6"/>
    <col width="21" bestFit="1" customWidth="1" min="7" max="7"/>
  </cols>
  <sheetData>
    <row r="1">
      <c r="A1" s="3" t="inlineStr">
        <is>
          <t>Rubrica</t>
        </is>
      </c>
      <c r="B1" s="1" t="inlineStr">
        <is>
          <t>Previsto</t>
        </is>
      </c>
      <c r="C1" s="1" t="inlineStr">
        <is>
          <t>%Previsto</t>
        </is>
      </c>
      <c r="D1" s="1" t="inlineStr">
        <is>
          <t>Executado</t>
        </is>
      </c>
      <c r="E1" s="1" t="inlineStr">
        <is>
          <t>Disponível</t>
        </is>
      </c>
      <c r="F1" s="1" t="inlineStr">
        <is>
          <t>%execucao_item</t>
        </is>
      </c>
      <c r="G1" s="1" t="inlineStr">
        <is>
          <t>%execucao_geral</t>
        </is>
      </c>
    </row>
    <row r="2">
      <c r="A2" s="4" t="inlineStr">
        <is>
          <t>I - Programa de Computador e Equipamento</t>
        </is>
      </c>
      <c r="B2" s="12">
        <f>[1]orcamento_biocaroco!$B$4</f>
        <v/>
      </c>
      <c r="C2" s="11" t="n">
        <v>1</v>
      </c>
      <c r="D2" s="12">
        <f>'[2]Cronograma Desembolso'!$E$4</f>
        <v/>
      </c>
      <c r="E2" s="12">
        <f>det_execucao_orcamentaria[[#This Row],[Previsto]]-det_execucao_orcamentaria[[#This Row],[Executado]]</f>
        <v/>
      </c>
      <c r="F2" s="9">
        <f>IF(det_execucao_orcamentaria[[#This Row],[Previsto]]=0,0,det_execucao_orcamentaria[[#This Row],[Executado]]/det_execucao_orcamentaria[[#This Row],[Previsto]])</f>
        <v/>
      </c>
      <c r="G2" s="9">
        <f>det_execucao_orcamentaria[[#This Row],[Executado]]/det_execucao_orcamentaria[[#Totals],[Previsto]]</f>
        <v/>
      </c>
    </row>
    <row r="3">
      <c r="A3" s="4" t="inlineStr">
        <is>
          <t>II - Modernização de Infraestrutura</t>
        </is>
      </c>
      <c r="B3" s="12">
        <f>[1]orcamento_biocaroco!$B$5</f>
        <v/>
      </c>
      <c r="C3" s="11" t="n">
        <v>1</v>
      </c>
      <c r="D3" s="12">
        <f>'[2]Cronograma Desembolso'!$E$5</f>
        <v/>
      </c>
      <c r="E3" s="12">
        <f>det_execucao_orcamentaria[[#This Row],[Previsto]]-det_execucao_orcamentaria[[#This Row],[Executado]]</f>
        <v/>
      </c>
      <c r="F3" s="9">
        <f>IF(det_execucao_orcamentaria[[#This Row],[Previsto]]=0,0,det_execucao_orcamentaria[[#This Row],[Executado]]/det_execucao_orcamentaria[[#This Row],[Previsto]])</f>
        <v/>
      </c>
      <c r="G3" s="9">
        <f>det_execucao_orcamentaria[[#This Row],[Executado]]/det_execucao_orcamentaria[[#Totals],[Previsto]]</f>
        <v/>
      </c>
    </row>
    <row r="4">
      <c r="A4" s="4" t="inlineStr">
        <is>
          <t>III - RH Direto</t>
        </is>
      </c>
      <c r="B4" s="12">
        <f>[1]orcamento_biocaroco!$B$6</f>
        <v/>
      </c>
      <c r="C4" s="11" t="n">
        <v>1</v>
      </c>
      <c r="D4" s="12">
        <f>'[2]Cronograma Desembolso'!$E$6</f>
        <v/>
      </c>
      <c r="E4" s="12">
        <f>det_execucao_orcamentaria[[#This Row],[Previsto]]-det_execucao_orcamentaria[[#This Row],[Executado]]</f>
        <v/>
      </c>
      <c r="F4" s="9">
        <f>IF(det_execucao_orcamentaria[[#This Row],[Previsto]]=0,"",det_execucao_orcamentaria[[#This Row],[Executado]]/det_execucao_orcamentaria[[#This Row],[Previsto]])</f>
        <v/>
      </c>
      <c r="G4" s="9">
        <f>det_execucao_orcamentaria[[#This Row],[Executado]]/det_execucao_orcamentaria[[#Totals],[Previsto]]</f>
        <v/>
      </c>
    </row>
    <row r="5">
      <c r="A5" s="4" t="inlineStr">
        <is>
          <t>III - RH Indireto</t>
        </is>
      </c>
      <c r="B5" s="12">
        <f>'[2]Cronograma Desembolso'!$D$19</f>
        <v/>
      </c>
      <c r="C5" s="11" t="n">
        <v>1</v>
      </c>
      <c r="D5" s="12">
        <f>'[2]Cronograma Desembolso'!$E$19</f>
        <v/>
      </c>
      <c r="E5" s="12">
        <f>det_execucao_orcamentaria[[#This Row],[Previsto]]-det_execucao_orcamentaria[[#This Row],[Executado]]</f>
        <v/>
      </c>
      <c r="F5" s="9">
        <f>IF(det_execucao_orcamentaria[[#This Row],[Previsto]]=0,"",det_execucao_orcamentaria[[#This Row],[Executado]]/det_execucao_orcamentaria[[#This Row],[Previsto]])</f>
        <v/>
      </c>
      <c r="G5" s="9">
        <f>det_execucao_orcamentaria[[#This Row],[Executado]]/det_execucao_orcamentaria[[#Totals],[Previsto]]</f>
        <v/>
      </c>
    </row>
    <row r="6">
      <c r="A6" s="4" t="inlineStr">
        <is>
          <t>IV - Serviços Técnicos de Terceiros</t>
        </is>
      </c>
      <c r="B6" s="12">
        <f>[1]orcamento_biocaroco!$B$8</f>
        <v/>
      </c>
      <c r="C6" s="11" t="n">
        <v>1</v>
      </c>
      <c r="D6" s="12">
        <f>'[2]Cronograma Desembolso'!$E$21</f>
        <v/>
      </c>
      <c r="E6" s="12">
        <f>det_execucao_orcamentaria[[#This Row],[Previsto]]-det_execucao_orcamentaria[[#This Row],[Executado]]</f>
        <v/>
      </c>
      <c r="F6" s="9">
        <f>IF(det_execucao_orcamentaria[[#This Row],[Previsto]]=0,"",det_execucao_orcamentaria[[#This Row],[Executado]]/det_execucao_orcamentaria[[#This Row],[Previsto]])</f>
        <v/>
      </c>
      <c r="G6" s="9">
        <f>det_execucao_orcamentaria[[#This Row],[Executado]]/det_execucao_orcamentaria[[#Totals],[Previsto]]</f>
        <v/>
      </c>
    </row>
    <row r="7">
      <c r="A7" s="4" t="inlineStr">
        <is>
          <t>V - Materiais de Consumo (Protótipo)</t>
        </is>
      </c>
      <c r="B7" s="12">
        <f>[1]orcamento_biocaroco!$B$9</f>
        <v/>
      </c>
      <c r="C7" s="11" t="n">
        <v>1</v>
      </c>
      <c r="D7" s="12">
        <f>'[2]Cronograma Desembolso'!$E$24</f>
        <v/>
      </c>
      <c r="E7" s="12">
        <f>det_execucao_orcamentaria[[#This Row],[Previsto]]-det_execucao_orcamentaria[[#This Row],[Executado]]</f>
        <v/>
      </c>
      <c r="F7" s="9">
        <f>IF(det_execucao_orcamentaria[[#This Row],[Previsto]]=0,0,det_execucao_orcamentaria[[#This Row],[Executado]]/det_execucao_orcamentaria[[#This Row],[Previsto]])</f>
        <v/>
      </c>
      <c r="G7" s="9">
        <f>det_execucao_orcamentaria[[#This Row],[Executado]]/det_execucao_orcamentaria[[#Totals],[Previsto]]</f>
        <v/>
      </c>
    </row>
    <row r="8">
      <c r="A8" s="4" t="inlineStr">
        <is>
          <t>VI - Outros Dispêndios Correlatos</t>
        </is>
      </c>
      <c r="B8" s="12" t="n"/>
      <c r="C8" s="12" t="n"/>
      <c r="D8" s="12">
        <f>'[2]Cronograma Desembolso'!$E$5</f>
        <v/>
      </c>
      <c r="E8" s="12">
        <f>det_execucao_orcamentaria[[#This Row],[Previsto]]-det_execucao_orcamentaria[[#This Row],[Executado]]</f>
        <v/>
      </c>
      <c r="F8" s="9">
        <f>IF(det_execucao_orcamentaria[[#This Row],[Previsto]]=0,0,det_execucao_orcamentaria[[#This Row],[Executado]]/det_execucao_orcamentaria[[#This Row],[Previsto]])</f>
        <v/>
      </c>
      <c r="G8" s="9" t="n"/>
    </row>
    <row r="9">
      <c r="A9" s="5" t="inlineStr">
        <is>
          <t>DOA (FAEPI)</t>
        </is>
      </c>
      <c r="B9" s="12">
        <f>[1]orcamento_biocaroco!$B$18</f>
        <v/>
      </c>
      <c r="C9" s="11" t="n">
        <v>1</v>
      </c>
      <c r="D9" s="12">
        <f>'[2]Cronograma Desembolso'!$E$31</f>
        <v/>
      </c>
      <c r="E9" s="12">
        <f>det_execucao_orcamentaria[[#This Row],[Previsto]]-det_execucao_orcamentaria[[#This Row],[Executado]]</f>
        <v/>
      </c>
      <c r="F9" s="9">
        <f>IF(det_execucao_orcamentaria[[#This Row],[Previsto]]=0,0,det_execucao_orcamentaria[[#This Row],[Executado]]/det_execucao_orcamentaria[[#This Row],[Previsto]])</f>
        <v/>
      </c>
      <c r="G9" s="9">
        <f>det_execucao_orcamentaria[[#This Row],[Executado]]/det_execucao_orcamentaria[[#Totals],[Previsto]]</f>
        <v/>
      </c>
    </row>
    <row r="10">
      <c r="A10" s="5" t="inlineStr">
        <is>
          <t>Fundo de Reserva (IFAM)</t>
        </is>
      </c>
      <c r="B10" s="12">
        <f>[1]orcamento_biocaroco!$B$19</f>
        <v/>
      </c>
      <c r="C10" s="11" t="n">
        <v>1</v>
      </c>
      <c r="D10" s="12">
        <f>'[2]Cronograma Desembolso'!$E$32</f>
        <v/>
      </c>
      <c r="E10" s="12">
        <f>det_execucao_orcamentaria[[#This Row],[Previsto]]-det_execucao_orcamentaria[[#This Row],[Executado]]</f>
        <v/>
      </c>
      <c r="F10" s="9">
        <f>IF(det_execucao_orcamentaria[[#This Row],[Previsto]]=0,0,det_execucao_orcamentaria[[#This Row],[Executado]]/det_execucao_orcamentaria[[#This Row],[Previsto]])</f>
        <v/>
      </c>
      <c r="G10" s="9">
        <f>det_execucao_orcamentaria[[#This Row],[Executado]]/det_execucao_orcamentaria[[#Totals],[Previsto]]</f>
        <v/>
      </c>
    </row>
    <row r="11">
      <c r="A11" s="5" t="inlineStr">
        <is>
          <t>ISS</t>
        </is>
      </c>
      <c r="B11" s="12" t="n">
        <v>5500</v>
      </c>
      <c r="C11" s="11" t="n">
        <v>1</v>
      </c>
      <c r="D11" s="12">
        <f>'[2]Cronograma Desembolso'!$E$33</f>
        <v/>
      </c>
      <c r="E11" s="12">
        <f>det_execucao_orcamentaria[[#This Row],[Previsto]]-det_execucao_orcamentaria[[#This Row],[Executado]]</f>
        <v/>
      </c>
      <c r="F11" s="9">
        <f>IF(det_execucao_orcamentaria[[#This Row],[Previsto]]=0,0,det_execucao_orcamentaria[[#This Row],[Executado]]/det_execucao_orcamentaria[[#This Row],[Previsto]])</f>
        <v/>
      </c>
      <c r="G11" s="9">
        <f>det_execucao_orcamentaria[[#This Row],[Executado]]/det_execucao_orcamentaria[[#Totals],[Previsto]]</f>
        <v/>
      </c>
    </row>
    <row r="12">
      <c r="A12" s="5" t="inlineStr">
        <is>
          <t>Outros Correlatos (Computação em Nuvem)</t>
        </is>
      </c>
      <c r="B12" s="12">
        <f>[1]orcamento_biocaroco!$B$16</f>
        <v/>
      </c>
      <c r="C12" s="11" t="n">
        <v>1</v>
      </c>
      <c r="D12" s="12">
        <f>'[2]Cronograma Desembolso'!$E$30</f>
        <v/>
      </c>
      <c r="E12" s="12">
        <f>det_execucao_orcamentaria[[#This Row],[Previsto]]-det_execucao_orcamentaria[[#This Row],[Executado]]</f>
        <v/>
      </c>
      <c r="F12" s="9">
        <f>IF(det_execucao_orcamentaria[[#This Row],[Previsto]]=0,0,det_execucao_orcamentaria[[#This Row],[Executado]]/det_execucao_orcamentaria[[#This Row],[Previsto]])</f>
        <v/>
      </c>
      <c r="G12" s="9">
        <f>det_execucao_orcamentaria[[#This Row],[Executado]]/det_execucao_orcamentaria[[#Totals],[Previsto]]</f>
        <v/>
      </c>
    </row>
    <row r="13">
      <c r="A13" s="5" t="inlineStr">
        <is>
          <t>Despesas de Suporte Operacional</t>
        </is>
      </c>
      <c r="B13" s="12">
        <f>'[2]Cronograma Desembolso'!$D$28</f>
        <v/>
      </c>
      <c r="C13" s="11" t="n">
        <v>1</v>
      </c>
      <c r="D13" s="12">
        <f>'[2]Cronograma Desembolso'!$E$28</f>
        <v/>
      </c>
      <c r="E13" s="12">
        <f>det_execucao_orcamentaria[[#This Row],[Previsto]]-det_execucao_orcamentaria[[#This Row],[Executado]]</f>
        <v/>
      </c>
      <c r="F13" s="9">
        <f>IF(det_execucao_orcamentaria[[#This Row],[Previsto]]=0,0,det_execucao_orcamentaria[[#This Row],[Executado]]/det_execucao_orcamentaria[[#This Row],[Previsto]])</f>
        <v/>
      </c>
      <c r="G13" s="9">
        <f>det_execucao_orcamentaria[[#This Row],[Executado]]/det_execucao_orcamentaria[[#Totals],[Previsto]]</f>
        <v/>
      </c>
    </row>
    <row r="14">
      <c r="A14" s="5" t="inlineStr">
        <is>
          <t>Tarifas Bancárias</t>
        </is>
      </c>
      <c r="B14" s="12">
        <f>[1]orcamento_biocaroco!$B$14</f>
        <v/>
      </c>
      <c r="C14" s="11" t="n">
        <v>1</v>
      </c>
      <c r="D14" s="12">
        <f>'[2]Cronograma Desembolso'!$E$27</f>
        <v/>
      </c>
      <c r="E14" s="12">
        <f>det_execucao_orcamentaria[[#This Row],[Previsto]]-det_execucao_orcamentaria[[#This Row],[Executado]]</f>
        <v/>
      </c>
      <c r="F14" s="9">
        <f>IF(det_execucao_orcamentaria[[#This Row],[Previsto]]=0,0,det_execucao_orcamentaria[[#This Row],[Executado]]/det_execucao_orcamentaria[[#This Row],[Previsto]])</f>
        <v/>
      </c>
      <c r="G14" s="9">
        <f>det_execucao_orcamentaria[[#This Row],[Executado]]/det_execucao_orcamentaria[[#Totals],[Previsto]]</f>
        <v/>
      </c>
    </row>
    <row r="15">
      <c r="A15" s="2" t="inlineStr">
        <is>
          <t>Total</t>
        </is>
      </c>
      <c r="B15" s="13">
        <f>SUBTOTAL(109,det_execucao_orcamentaria[Previsto])</f>
        <v/>
      </c>
      <c r="C15" s="13" t="n"/>
      <c r="D15" s="13">
        <f>SUBTOTAL(109,det_execucao_orcamentaria[Executado])</f>
        <v/>
      </c>
      <c r="E15" s="13">
        <f>SUBTOTAL(109,det_execucao_orcamentaria[Disponível])</f>
        <v/>
      </c>
      <c r="F15" s="7" t="n"/>
      <c r="G15" s="10">
        <f>SUBTOTAL(109,det_execucao_orcamentaria[%execucao_geral])</f>
        <v/>
      </c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2">
      <c r="B2" s="14" t="inlineStr">
        <is>
          <t>POLO DE INOVAÇÃO MANAUS — CONVÊNIO Nº 002/2026 (BIO CAROÇO)</t>
        </is>
      </c>
    </row>
    <row r="3">
      <c r="B3" s="15" t="inlineStr">
        <is>
          <t>Dashboard de Saúde do Projeto — Posição Fechada em Setembro/2026 (Pronto para Copiar e Colar no Slide 2)</t>
        </is>
      </c>
    </row>
    <row r="5">
      <c r="B5" s="16" t="inlineStr">
        <is>
          <t>SALDO DISPONÍVEL</t>
        </is>
      </c>
      <c r="C5" s="17" t="n"/>
      <c r="D5" s="18" t="inlineStr">
        <is>
          <t>RECEITAS RECEBIDAS</t>
        </is>
      </c>
      <c r="E5" s="17" t="n"/>
      <c r="F5" s="19" t="inlineStr">
        <is>
          <t>TOTAL EXECUTADO</t>
        </is>
      </c>
      <c r="G5" s="17" t="n"/>
      <c r="H5" s="20" t="inlineStr">
        <is>
          <t>RENDIMENTO FINANC.</t>
        </is>
      </c>
      <c r="I5" s="17" t="n"/>
      <c r="J5" s="21" t="inlineStr">
        <is>
          <t>SPRINTS ACOMP.</t>
        </is>
      </c>
      <c r="K5" s="17" t="n"/>
    </row>
    <row r="6">
      <c r="B6" s="22" t="inlineStr">
        <is>
          <t>R$ 137.823,81</t>
        </is>
      </c>
      <c r="C6" s="17" t="n"/>
      <c r="D6" s="22" t="inlineStr">
        <is>
          <t>R$ 280.500,00</t>
        </is>
      </c>
      <c r="E6" s="17" t="n"/>
      <c r="F6" s="22" t="inlineStr">
        <is>
          <t>R$ 147.398,33</t>
        </is>
      </c>
      <c r="G6" s="17" t="n"/>
      <c r="H6" s="22" t="inlineStr">
        <is>
          <t>R$ 4.722,14</t>
        </is>
      </c>
      <c r="I6" s="17" t="n"/>
      <c r="J6" s="22" t="inlineStr">
        <is>
          <t>Sprints 14 e 15</t>
        </is>
      </c>
      <c r="K6" s="17" t="n"/>
    </row>
    <row r="7">
      <c r="B7" s="23" t="inlineStr">
        <is>
          <t>Fechamento em 30/09/2026</t>
        </is>
      </c>
      <c r="C7" s="17" t="n"/>
      <c r="D7" s="23" t="inlineStr">
        <is>
          <t>Aportes acumulados em conta</t>
        </is>
      </c>
      <c r="E7" s="17" t="n"/>
      <c r="F7" s="23" t="inlineStr">
        <is>
          <t>Execução financeira total</t>
        </is>
      </c>
      <c r="G7" s="17" t="n"/>
      <c r="H7" s="23" t="inlineStr">
        <is>
          <t>Rendimento líquido de aplicação</t>
        </is>
      </c>
      <c r="I7" s="17" t="n"/>
      <c r="J7" s="23" t="inlineStr">
        <is>
          <t>Ciclo operacional ativo</t>
        </is>
      </c>
      <c r="K7" s="17" t="n"/>
    </row>
    <row r="9">
      <c r="B9" s="24" t="inlineStr">
        <is>
          <t>EXECUÇÃO ORÇAMENTÁRIA POR RUBRICA — ORÇAMENTO • EXECUTADO • DISPONÍVEL</t>
        </is>
      </c>
    </row>
    <row r="10">
      <c r="B10" s="25" t="inlineStr">
        <is>
          <t>Rubrica Orçamentária</t>
        </is>
      </c>
      <c r="C10" s="17" t="n"/>
      <c r="D10" s="26" t="inlineStr">
        <is>
          <t>Orçamento (R$)</t>
        </is>
      </c>
      <c r="E10" s="17" t="n"/>
      <c r="F10" s="26" t="inlineStr">
        <is>
          <t>Executado (R$)</t>
        </is>
      </c>
      <c r="G10" s="17" t="n"/>
      <c r="H10" s="26" t="inlineStr">
        <is>
          <t>Disponível (R$)</t>
        </is>
      </c>
      <c r="I10" s="17" t="n"/>
      <c r="J10" s="27" t="inlineStr">
        <is>
          <t>Exec. %</t>
        </is>
      </c>
      <c r="K10" s="17" t="n"/>
    </row>
    <row r="11">
      <c r="B11" s="28" t="inlineStr">
        <is>
          <t>Recursos Humanos – Bolsas P&amp;D</t>
        </is>
      </c>
      <c r="C11" s="17" t="n"/>
      <c r="D11" s="29" t="n">
        <v>458000</v>
      </c>
      <c r="E11" s="17" t="n"/>
      <c r="F11" s="29" t="n">
        <v>134250</v>
      </c>
      <c r="G11" s="17" t="n"/>
      <c r="H11" s="29" t="n">
        <v>323750</v>
      </c>
      <c r="I11" s="17" t="n"/>
      <c r="J11" s="30" t="n">
        <v>0.293</v>
      </c>
      <c r="K11" s="17" t="n"/>
    </row>
    <row r="12">
      <c r="B12" s="31" t="inlineStr">
        <is>
          <t>Recursos Humanos Indiretos</t>
        </is>
      </c>
      <c r="C12" s="32" t="n"/>
      <c r="D12" s="33" t="n">
        <v>22400</v>
      </c>
      <c r="E12" s="32" t="n"/>
      <c r="F12" s="33" t="n">
        <v>0</v>
      </c>
      <c r="G12" s="32" t="n"/>
      <c r="H12" s="33" t="n">
        <v>22400</v>
      </c>
      <c r="I12" s="32" t="n"/>
      <c r="J12" s="34" t="n">
        <v>0</v>
      </c>
      <c r="K12" s="32" t="n"/>
    </row>
    <row r="13">
      <c r="B13" s="28" t="inlineStr">
        <is>
          <t>Serviços de Terceiros PJ (Rateio Internet)</t>
        </is>
      </c>
      <c r="C13" s="17" t="n"/>
      <c r="D13" s="29" t="n">
        <v>8937</v>
      </c>
      <c r="E13" s="17" t="n"/>
      <c r="F13" s="29" t="n">
        <v>257.15</v>
      </c>
      <c r="G13" s="17" t="n"/>
      <c r="H13" s="29" t="n">
        <v>8679.85</v>
      </c>
      <c r="I13" s="17" t="n"/>
      <c r="J13" s="30" t="n">
        <v>0.029</v>
      </c>
      <c r="K13" s="17" t="n"/>
    </row>
    <row r="14">
      <c r="B14" s="31" t="inlineStr">
        <is>
          <t>Tributos / ISS FAEPI</t>
        </is>
      </c>
      <c r="C14" s="32" t="n"/>
      <c r="D14" s="33" t="n">
        <v>5500</v>
      </c>
      <c r="E14" s="32" t="n"/>
      <c r="F14" s="33" t="n">
        <v>4125</v>
      </c>
      <c r="G14" s="32" t="n"/>
      <c r="H14" s="33" t="n">
        <v>1375</v>
      </c>
      <c r="I14" s="32" t="n"/>
      <c r="J14" s="34" t="n">
        <v>0.75</v>
      </c>
      <c r="K14" s="32" t="n"/>
    </row>
    <row r="15">
      <c r="B15" s="28" t="inlineStr">
        <is>
          <t>Tarifas Bancárias (Conta SEBRAE)</t>
        </is>
      </c>
      <c r="C15" s="17" t="n"/>
      <c r="D15" s="29" t="n">
        <v>1000</v>
      </c>
      <c r="E15" s="17" t="n"/>
      <c r="F15" s="29" t="n">
        <v>141.68</v>
      </c>
      <c r="G15" s="17" t="n"/>
      <c r="H15" s="29" t="n">
        <v>858.3200000000001</v>
      </c>
      <c r="I15" s="17" t="n"/>
      <c r="J15" s="30" t="n">
        <v>0.142</v>
      </c>
      <c r="K15" s="17" t="n"/>
    </row>
    <row r="16">
      <c r="B16" s="31" t="inlineStr">
        <is>
          <t>Despesa de Suporte Operacional (DOA)</t>
        </is>
      </c>
      <c r="C16" s="32" t="n"/>
      <c r="D16" s="33" t="n">
        <v>72263</v>
      </c>
      <c r="E16" s="32" t="n"/>
      <c r="F16" s="33" t="n">
        <v>8400</v>
      </c>
      <c r="G16" s="32" t="n"/>
      <c r="H16" s="33" t="n">
        <v>63863</v>
      </c>
      <c r="I16" s="32" t="n"/>
      <c r="J16" s="34" t="n">
        <v>0.116</v>
      </c>
      <c r="K16" s="32" t="n"/>
    </row>
    <row r="17">
      <c r="B17" s="35" t="inlineStr">
        <is>
          <t>TOTAL DO PROJETO</t>
        </is>
      </c>
      <c r="C17" s="36" t="n"/>
      <c r="D17" s="37" t="n">
        <v>568100</v>
      </c>
      <c r="E17" s="36" t="n"/>
      <c r="F17" s="37" t="n">
        <v>147173.83</v>
      </c>
      <c r="G17" s="36" t="n"/>
      <c r="H17" s="37" t="n">
        <v>420926.17</v>
      </c>
      <c r="I17" s="36" t="n"/>
      <c r="J17" s="38" t="n">
        <v>0.259</v>
      </c>
      <c r="K17" s="36" t="n"/>
    </row>
    <row r="18">
      <c r="B18" s="39" t="inlineStr">
        <is>
          <t>* Posição em 30/09/2026. Aportado: R$ 280.500,00. Rendimentos líquidos: R$ 4.722,14. Saldo em caixa: R$ 137.823,81. Tarifas Empresa/EMBRAPII (R$ 224,50) pagas c/ rendimentos.</t>
        </is>
      </c>
    </row>
  </sheetData>
  <mergeCells count="59">
    <mergeCell ref="F11:G11"/>
    <mergeCell ref="B16:C16"/>
    <mergeCell ref="D10:E10"/>
    <mergeCell ref="B7:C7"/>
    <mergeCell ref="J5:K5"/>
    <mergeCell ref="F10:G10"/>
    <mergeCell ref="F16:G16"/>
    <mergeCell ref="B9:K9"/>
    <mergeCell ref="H10:I10"/>
    <mergeCell ref="J14:K14"/>
    <mergeCell ref="J10:K10"/>
    <mergeCell ref="F6:G6"/>
    <mergeCell ref="J13:K13"/>
    <mergeCell ref="F7:G7"/>
    <mergeCell ref="B12:C12"/>
    <mergeCell ref="D6:E6"/>
    <mergeCell ref="F12:G12"/>
    <mergeCell ref="H6:I6"/>
    <mergeCell ref="B11:C11"/>
    <mergeCell ref="J6:K6"/>
    <mergeCell ref="F15:G15"/>
    <mergeCell ref="D11:E11"/>
    <mergeCell ref="D13:E13"/>
    <mergeCell ref="F5:G5"/>
    <mergeCell ref="J15:K15"/>
    <mergeCell ref="B14:C14"/>
    <mergeCell ref="B17:C17"/>
    <mergeCell ref="D17:E17"/>
    <mergeCell ref="F17:G17"/>
    <mergeCell ref="B3:K3"/>
    <mergeCell ref="H17:I17"/>
    <mergeCell ref="B13:C13"/>
    <mergeCell ref="H11:I11"/>
    <mergeCell ref="D16:E16"/>
    <mergeCell ref="J11:K11"/>
    <mergeCell ref="D7:E7"/>
    <mergeCell ref="H16:I16"/>
    <mergeCell ref="H7:I7"/>
    <mergeCell ref="J16:K16"/>
    <mergeCell ref="B18:K18"/>
    <mergeCell ref="J7:K7"/>
    <mergeCell ref="B10:C10"/>
    <mergeCell ref="B2:K2"/>
    <mergeCell ref="F13:G13"/>
    <mergeCell ref="H13:I13"/>
    <mergeCell ref="D12:E12"/>
    <mergeCell ref="B6:C6"/>
    <mergeCell ref="H12:I12"/>
    <mergeCell ref="J12:K12"/>
    <mergeCell ref="B15:C15"/>
    <mergeCell ref="D15:E15"/>
    <mergeCell ref="B5:C5"/>
    <mergeCell ref="D5:E5"/>
    <mergeCell ref="H15:I15"/>
    <mergeCell ref="D14:E14"/>
    <mergeCell ref="H5:I5"/>
    <mergeCell ref="F14:G14"/>
    <mergeCell ref="H14:I14"/>
    <mergeCell ref="J17:K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2">
      <c r="B2" s="14" t="inlineStr">
        <is>
          <t>CONV. 002/2026 — DESEMBOLSO E EXECUÇÃO ORÇAMENTÁRIA (SETEMBRO/2026)</t>
        </is>
      </c>
    </row>
    <row r="3">
      <c r="B3" s="15" t="inlineStr">
        <is>
          <t>Contas Bancárias: 15334-6 (Empresa), 15335-4 (SEBRAE), 15338-9 (EMBRAPII) — Pronto para Copiar e Colar no Slide 3</t>
        </is>
      </c>
    </row>
    <row r="5">
      <c r="B5" s="24" t="inlineStr">
        <is>
          <t>PARCELAS RECEBIDAS (ENTRADAS DE RECEITA)</t>
        </is>
      </c>
      <c r="H5" s="24" t="inlineStr">
        <is>
          <t>RESUMO FINANCEIRO CONSOLIDADO</t>
        </is>
      </c>
    </row>
    <row r="6">
      <c r="B6" s="27" t="inlineStr">
        <is>
          <t>Parcela</t>
        </is>
      </c>
      <c r="C6" s="27" t="inlineStr">
        <is>
          <t>Nº Doc.</t>
        </is>
      </c>
      <c r="D6" s="27" t="inlineStr">
        <is>
          <t>Data Pagto</t>
        </is>
      </c>
      <c r="E6" s="26" t="inlineStr">
        <is>
          <t>Valor (R$)</t>
        </is>
      </c>
      <c r="F6" s="26" t="inlineStr">
        <is>
          <t>Acumulado (R$)</t>
        </is>
      </c>
      <c r="H6" s="28" t="inlineStr">
        <is>
          <t>Créditos de setembro (Rend. Bruto)</t>
        </is>
      </c>
      <c r="I6" s="17" t="n"/>
      <c r="J6" s="29" t="n">
        <v>332.27</v>
      </c>
      <c r="K6" s="17" t="n"/>
    </row>
    <row r="7">
      <c r="B7" s="40" t="inlineStr">
        <is>
          <t>01/03 EMB</t>
        </is>
      </c>
      <c r="C7" s="40" t="inlineStr">
        <is>
          <t>Ordem Banc.</t>
        </is>
      </c>
      <c r="D7" s="40" t="inlineStr">
        <is>
          <t>17/06/2026</t>
        </is>
      </c>
      <c r="E7" s="29" t="n">
        <v>103000</v>
      </c>
      <c r="F7" s="29" t="n">
        <v>103000</v>
      </c>
      <c r="H7" s="28" t="inlineStr">
        <is>
          <t>Débitos de setembro (Pagamentos)</t>
        </is>
      </c>
      <c r="I7" s="17" t="n"/>
      <c r="J7" s="29" t="n">
        <v>61440.33</v>
      </c>
      <c r="K7" s="17" t="n"/>
    </row>
    <row r="8">
      <c r="B8" s="41" t="inlineStr">
        <is>
          <t>01/04 Emp</t>
        </is>
      </c>
      <c r="C8" s="41" t="inlineStr">
        <is>
          <t>NFSe 106</t>
        </is>
      </c>
      <c r="D8" s="41" t="inlineStr">
        <is>
          <t>01/07/2026</t>
        </is>
      </c>
      <c r="E8" s="33" t="n">
        <v>27500</v>
      </c>
      <c r="F8" s="33" t="n">
        <v>130500</v>
      </c>
      <c r="H8" s="42" t="inlineStr">
        <is>
          <t>Saldo Financeiro em 30/09</t>
        </is>
      </c>
      <c r="I8" s="43" t="n"/>
      <c r="J8" s="44" t="n">
        <v>137823.81</v>
      </c>
      <c r="K8" s="43" t="n"/>
    </row>
    <row r="9">
      <c r="B9" s="40" t="inlineStr">
        <is>
          <t>Única SEB</t>
        </is>
      </c>
      <c r="C9" s="40" t="inlineStr">
        <is>
          <t>Aporte Único</t>
        </is>
      </c>
      <c r="D9" s="40" t="inlineStr">
        <is>
          <t>08/07/2026</t>
        </is>
      </c>
      <c r="E9" s="29" t="n">
        <v>150000</v>
      </c>
      <c r="F9" s="29" t="n">
        <v>280500</v>
      </c>
    </row>
    <row r="10">
      <c r="B10" s="41" t="inlineStr">
        <is>
          <t>02/04 Emp</t>
        </is>
      </c>
      <c r="C10" s="41" t="inlineStr">
        <is>
          <t>—</t>
        </is>
      </c>
      <c r="D10" s="41" t="inlineStr">
        <is>
          <t>Prev. Out/26</t>
        </is>
      </c>
      <c r="E10" s="33" t="n">
        <v>27500</v>
      </c>
      <c r="F10" s="41" t="inlineStr">
        <is>
          <t>pendente</t>
        </is>
      </c>
      <c r="H10" s="45" t="inlineStr">
        <is>
          <t>RENDIMENTOS DE APLICAÇÃO FINANCEIRA</t>
        </is>
      </c>
    </row>
    <row r="11">
      <c r="B11" s="40" t="inlineStr">
        <is>
          <t>02/03 EMB</t>
        </is>
      </c>
      <c r="C11" s="40" t="inlineStr">
        <is>
          <t>—</t>
        </is>
      </c>
      <c r="D11" s="40" t="inlineStr">
        <is>
          <t>Prev. Out/26</t>
        </is>
      </c>
      <c r="E11" s="29" t="n">
        <v>103000</v>
      </c>
      <c r="F11" s="40" t="inlineStr">
        <is>
          <t>pendente</t>
        </is>
      </c>
      <c r="H11" s="28" t="inlineStr">
        <is>
          <t>Saldo inicial acumulado (Ago)</t>
        </is>
      </c>
      <c r="I11" s="17" t="n"/>
      <c r="J11" s="29" t="n">
        <v>4414.24</v>
      </c>
      <c r="K11" s="17" t="n"/>
    </row>
    <row r="12">
      <c r="B12" s="41" t="inlineStr">
        <is>
          <t>03/04 Emp</t>
        </is>
      </c>
      <c r="C12" s="41" t="inlineStr">
        <is>
          <t>—</t>
        </is>
      </c>
      <c r="D12" s="41" t="inlineStr">
        <is>
          <t>Prev. Dez/26</t>
        </is>
      </c>
      <c r="E12" s="33" t="n">
        <v>27500</v>
      </c>
      <c r="F12" s="41" t="inlineStr">
        <is>
          <t>pendente</t>
        </is>
      </c>
      <c r="H12" s="28" t="inlineStr">
        <is>
          <t>Setembro/2026 – bruto</t>
        </is>
      </c>
      <c r="I12" s="17" t="n"/>
      <c r="J12" s="29" t="n">
        <v>332.27</v>
      </c>
      <c r="K12" s="17" t="n"/>
    </row>
    <row r="13">
      <c r="B13" s="40" t="inlineStr">
        <is>
          <t>03/03 EMB</t>
        </is>
      </c>
      <c r="C13" s="40" t="inlineStr">
        <is>
          <t>—</t>
        </is>
      </c>
      <c r="D13" s="40" t="inlineStr">
        <is>
          <t>Prev. Jan/27</t>
        </is>
      </c>
      <c r="E13" s="29" t="n">
        <v>103000</v>
      </c>
      <c r="F13" s="40" t="inlineStr">
        <is>
          <t>pendente</t>
        </is>
      </c>
      <c r="H13" s="28" t="inlineStr">
        <is>
          <t>Setembro/2026 – IRRF retido</t>
        </is>
      </c>
      <c r="I13" s="17" t="n"/>
      <c r="J13" s="29" t="n">
        <v>24.37</v>
      </c>
      <c r="K13" s="17" t="n"/>
    </row>
    <row r="14">
      <c r="B14" s="35" t="inlineStr">
        <is>
          <t>TOTAL RECEBIDO</t>
        </is>
      </c>
      <c r="C14" s="36" t="n"/>
      <c r="D14" s="36" t="n"/>
      <c r="E14" s="37" t="n">
        <v>280500</v>
      </c>
      <c r="F14" s="36" t="n"/>
      <c r="H14" s="46" t="inlineStr">
        <is>
          <t>Acumulado Líquido (30/09)</t>
        </is>
      </c>
      <c r="I14" s="47" t="n"/>
      <c r="J14" s="48" t="n">
        <v>4722.14</v>
      </c>
      <c r="K14" s="47" t="n"/>
    </row>
    <row r="15">
      <c r="B15" s="39" t="inlineStr">
        <is>
          <t>Receitas recebidas: R$ 280.500,00 (49,3% do convênio). Aportes pendentes: R$ 288.500,00.</t>
        </is>
      </c>
    </row>
  </sheetData>
  <mergeCells count="22">
    <mergeCell ref="B14:D14"/>
    <mergeCell ref="J14:K14"/>
    <mergeCell ref="E14:F14"/>
    <mergeCell ref="J13:K13"/>
    <mergeCell ref="H5:K5"/>
    <mergeCell ref="H6:I6"/>
    <mergeCell ref="J6:K6"/>
    <mergeCell ref="H10:K10"/>
    <mergeCell ref="B3:K3"/>
    <mergeCell ref="H11:I11"/>
    <mergeCell ref="J11:K11"/>
    <mergeCell ref="H7:I7"/>
    <mergeCell ref="J7:K7"/>
    <mergeCell ref="B2:K2"/>
    <mergeCell ref="H13:I13"/>
    <mergeCell ref="H14:I14"/>
    <mergeCell ref="H12:I12"/>
    <mergeCell ref="J12:K12"/>
    <mergeCell ref="B15:F15"/>
    <mergeCell ref="B5:F5"/>
    <mergeCell ref="H8:I8"/>
    <mergeCell ref="J8:K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2">
      <c r="B2" s="14" t="inlineStr">
        <is>
          <t>CONV. 002/2026 — ANÁLISE DE EXECUÇÃO E PONTOS DE ATENÇÃO (SETEMBRO/2026)</t>
        </is>
      </c>
    </row>
    <row r="3">
      <c r="B3" s="15" t="inlineStr">
        <is>
          <t>Percentuais de Execução por Rubrica e Destaques Gerenciais — Pronto para Copiar e Colar no Slide 4</t>
        </is>
      </c>
    </row>
    <row r="5">
      <c r="B5" s="24" t="inlineStr">
        <is>
          <t>% DE EXECUÇÃO POR RUBRICA ORÇAMENTÁRIA</t>
        </is>
      </c>
      <c r="G5" s="18" t="inlineStr">
        <is>
          <t>EXECUÇÃO ACUMULADA GERAL</t>
        </is>
      </c>
      <c r="H5" s="17" t="n"/>
      <c r="I5" s="17" t="n"/>
      <c r="J5" s="17" t="n"/>
      <c r="K5" s="17" t="n"/>
    </row>
    <row r="6">
      <c r="B6" s="25" t="inlineStr">
        <is>
          <t>Rubrica Orçamentária</t>
        </is>
      </c>
      <c r="C6" s="17" t="n"/>
      <c r="D6" s="17" t="n"/>
      <c r="E6" s="27" t="inlineStr">
        <is>
          <t>% Exec.</t>
        </is>
      </c>
      <c r="G6" s="49" t="inlineStr">
        <is>
          <t>25,9%</t>
        </is>
      </c>
      <c r="H6" s="17" t="n"/>
      <c r="I6" s="17" t="n"/>
      <c r="J6" s="17" t="n"/>
      <c r="K6" s="17" t="n"/>
    </row>
    <row r="7">
      <c r="B7" s="28" t="inlineStr">
        <is>
          <t>Recursos Humanos Diretos (Bolsas)</t>
        </is>
      </c>
      <c r="C7" s="17" t="n"/>
      <c r="D7" s="17" t="n"/>
      <c r="E7" s="50" t="n">
        <v>0.293</v>
      </c>
      <c r="G7" s="51" t="inlineStr">
        <is>
          <t>R$ 147.398,33 executados de R$ 568.100,00 do orçamento total</t>
        </is>
      </c>
      <c r="H7" s="17" t="n"/>
      <c r="I7" s="17" t="n"/>
      <c r="J7" s="17" t="n"/>
      <c r="K7" s="17" t="n"/>
    </row>
    <row r="8">
      <c r="B8" s="31" t="inlineStr">
        <is>
          <t>Recursos Humanos Indiretos</t>
        </is>
      </c>
      <c r="C8" s="32" t="n"/>
      <c r="D8" s="32" t="n"/>
      <c r="E8" s="52" t="n">
        <v>0</v>
      </c>
    </row>
    <row r="9">
      <c r="B9" s="28" t="inlineStr">
        <is>
          <t>Tributos / ISS FAEPI</t>
        </is>
      </c>
      <c r="C9" s="17" t="n"/>
      <c r="D9" s="17" t="n"/>
      <c r="E9" s="50" t="n">
        <v>0.75</v>
      </c>
      <c r="G9" s="20" t="inlineStr">
        <is>
          <t>SALDO FINANCEIRO DISPONÍVEL</t>
        </is>
      </c>
      <c r="H9" s="17" t="n"/>
      <c r="I9" s="17" t="n"/>
      <c r="J9" s="17" t="n"/>
      <c r="K9" s="17" t="n"/>
    </row>
    <row r="10">
      <c r="B10" s="31" t="inlineStr">
        <is>
          <t>Tarifas Bancárias (SEBRAE)</t>
        </is>
      </c>
      <c r="C10" s="32" t="n"/>
      <c r="D10" s="32" t="n"/>
      <c r="E10" s="52" t="n">
        <v>0.142</v>
      </c>
      <c r="G10" s="53" t="inlineStr">
        <is>
          <t>R$ 137.823,81</t>
        </is>
      </c>
      <c r="H10" s="17" t="n"/>
      <c r="I10" s="17" t="n"/>
      <c r="J10" s="17" t="n"/>
      <c r="K10" s="17" t="n"/>
    </row>
    <row r="11">
      <c r="B11" s="28" t="inlineStr">
        <is>
          <t>Serviços Terceiros PJ (Rateio)</t>
        </is>
      </c>
      <c r="C11" s="17" t="n"/>
      <c r="D11" s="17" t="n"/>
      <c r="E11" s="50" t="n">
        <v>0.029</v>
      </c>
      <c r="G11" s="51" t="inlineStr">
        <is>
          <t>Disponibilidade imediata em 30/09/2026 (3 contas)</t>
        </is>
      </c>
      <c r="H11" s="17" t="n"/>
      <c r="I11" s="17" t="n"/>
      <c r="J11" s="17" t="n"/>
      <c r="K11" s="17" t="n"/>
    </row>
    <row r="12">
      <c r="B12" s="31" t="inlineStr">
        <is>
          <t>Despesa Suporte Operacional (DOA)</t>
        </is>
      </c>
      <c r="C12" s="32" t="n"/>
      <c r="D12" s="32" t="n"/>
      <c r="E12" s="52" t="n">
        <v>0.116</v>
      </c>
    </row>
    <row r="13">
      <c r="G13" s="54" t="inlineStr">
        <is>
          <t>PONTOS DE ATENÇÃO — SETEMBRO/2026</t>
        </is>
      </c>
    </row>
    <row r="14" ht="24" customHeight="1">
      <c r="G14" s="55" t="inlineStr">
        <is>
          <t>• Integralização SEBRAE: Aporte 100% integralizado em conta única (R$ 150.000,00), garantindo liquidez contínua.</t>
        </is>
      </c>
      <c r="H14" s="17" t="n"/>
      <c r="I14" s="17" t="n"/>
      <c r="J14" s="17" t="n"/>
      <c r="K14" s="17" t="n"/>
    </row>
    <row r="15" ht="24" customHeight="1">
      <c r="G15" s="55" t="inlineStr">
        <is>
          <t>• Regularidade de Bolsas: 100% das bolsas do 1º trimestre quitadas e conciliadas com a FAEPI (34 ordens bancárias).</t>
        </is>
      </c>
      <c r="H15" s="17" t="n"/>
      <c r="I15" s="17" t="n"/>
      <c r="J15" s="17" t="n"/>
      <c r="K15" s="17" t="n"/>
    </row>
    <row r="16" ht="24" customHeight="1">
      <c r="G16" s="55" t="inlineStr">
        <is>
          <t>• Próximos Aportes: Empresa Parcela 02/04 (R$ 27,5k) e EMBRAPII Parcela 02/03 (R$ 103k) previstas p/ o 4º mês.</t>
        </is>
      </c>
      <c r="H16" s="17" t="n"/>
      <c r="I16" s="17" t="n"/>
      <c r="J16" s="17" t="n"/>
      <c r="K16" s="17" t="n"/>
    </row>
    <row r="17" ht="24" customHeight="1">
      <c r="G17" s="55" t="inlineStr">
        <is>
          <t>• Despesas Operacionais: Auxiliar Administrativo alocado em DSO (R$ 8,4k executados / 11,6%). Tarifas SEBRAE com R$ 858,32 de saldo.</t>
        </is>
      </c>
      <c r="H17" s="17" t="n"/>
      <c r="I17" s="17" t="n"/>
      <c r="J17" s="17" t="n"/>
      <c r="K17" s="17" t="n"/>
    </row>
  </sheetData>
  <mergeCells count="21">
    <mergeCell ref="B11:D11"/>
    <mergeCell ref="B8:D8"/>
    <mergeCell ref="G11:K11"/>
    <mergeCell ref="B5:E5"/>
    <mergeCell ref="B10:D10"/>
    <mergeCell ref="G17:K17"/>
    <mergeCell ref="G7:K7"/>
    <mergeCell ref="G10:K10"/>
    <mergeCell ref="B9:D9"/>
    <mergeCell ref="G13:K13"/>
    <mergeCell ref="G6:K6"/>
    <mergeCell ref="B6:D6"/>
    <mergeCell ref="B3:K3"/>
    <mergeCell ref="G15:K15"/>
    <mergeCell ref="G14:K14"/>
    <mergeCell ref="G5:K5"/>
    <mergeCell ref="B2:K2"/>
    <mergeCell ref="B7:D7"/>
    <mergeCell ref="G16:K16"/>
    <mergeCell ref="B12:D12"/>
    <mergeCell ref="G9:K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INOVA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2026-10-07T00:47:59Z</dcterms:modified>
  <cp:lastModifiedBy>Geziel Sena Colares</cp:lastModifiedBy>
</cp:coreProperties>
</file>