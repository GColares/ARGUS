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RGUS\gestao_projetos\execucao_financeira\"/>
    </mc:Choice>
  </mc:AlternateContent>
  <xr:revisionPtr revIDLastSave="0" documentId="13_ncr:1_{2DA96768-4BCE-45C8-B8BA-1D9C98C8A23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et_execucao_orcamentaria" sheetId="1" r:id="rId1"/>
    <sheet name="Slide 2 - Saude do Projeto" sheetId="11" r:id="rId2"/>
    <sheet name="Slide 3 - Desembolso e Contas" sheetId="12" r:id="rId3"/>
    <sheet name="Slide 4 - Analise e Atencao" sheetId="13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1" l="1"/>
  <c r="F14" i="11"/>
  <c r="D14" i="11"/>
  <c r="J14" i="11" s="1"/>
  <c r="E9" i="13" s="1"/>
  <c r="F13" i="11"/>
  <c r="F12" i="11"/>
  <c r="J14" i="12"/>
  <c r="H6" i="11" s="1"/>
  <c r="J8" i="12"/>
  <c r="B6" i="11" s="1"/>
  <c r="G10" i="13" s="1"/>
  <c r="J6" i="12"/>
  <c r="E9" i="12"/>
  <c r="E14" i="12" s="1"/>
  <c r="D9" i="12"/>
  <c r="E8" i="12"/>
  <c r="D8" i="12"/>
  <c r="E7" i="12"/>
  <c r="F7" i="12" s="1"/>
  <c r="F8" i="12" s="1"/>
  <c r="F9" i="12" s="1"/>
  <c r="D7" i="12"/>
  <c r="D11" i="1"/>
  <c r="D10" i="1"/>
  <c r="D9" i="1"/>
  <c r="D7" i="1"/>
  <c r="D6" i="1"/>
  <c r="D5" i="1"/>
  <c r="D4" i="1"/>
  <c r="F11" i="11" s="1"/>
  <c r="D3" i="1"/>
  <c r="D2" i="1"/>
  <c r="B18" i="11" l="1"/>
  <c r="D6" i="11"/>
  <c r="H14" i="11"/>
  <c r="D14" i="1"/>
  <c r="D13" i="1"/>
  <c r="F16" i="11" s="1"/>
  <c r="F17" i="11" s="1"/>
  <c r="B13" i="1"/>
  <c r="B5" i="1"/>
  <c r="D12" i="11" s="1"/>
  <c r="F6" i="11" l="1"/>
  <c r="J12" i="11"/>
  <c r="E8" i="13" s="1"/>
  <c r="H12" i="11"/>
  <c r="F13" i="1"/>
  <c r="F8" i="1"/>
  <c r="E13" i="1"/>
  <c r="D12" i="1"/>
  <c r="F11" i="1"/>
  <c r="D8" i="1"/>
  <c r="F5" i="1" l="1"/>
  <c r="D15" i="1"/>
  <c r="B14" i="1"/>
  <c r="D15" i="11" s="1"/>
  <c r="B12" i="1"/>
  <c r="F12" i="1" s="1"/>
  <c r="B10" i="1"/>
  <c r="F10" i="1" s="1"/>
  <c r="B9" i="1"/>
  <c r="D16" i="11" s="1"/>
  <c r="B7" i="1"/>
  <c r="F7" i="1" s="1"/>
  <c r="B6" i="1"/>
  <c r="D13" i="11" s="1"/>
  <c r="B4" i="1"/>
  <c r="D11" i="11" s="1"/>
  <c r="B3" i="1"/>
  <c r="F3" i="1" s="1"/>
  <c r="B2" i="1"/>
  <c r="F2" i="1" s="1"/>
  <c r="E11" i="1"/>
  <c r="H11" i="11" l="1"/>
  <c r="J11" i="11"/>
  <c r="E7" i="13" s="1"/>
  <c r="D17" i="11"/>
  <c r="J13" i="11"/>
  <c r="E11" i="13" s="1"/>
  <c r="H13" i="11"/>
  <c r="H16" i="11"/>
  <c r="J16" i="11"/>
  <c r="E12" i="13" s="1"/>
  <c r="J15" i="11"/>
  <c r="E10" i="13" s="1"/>
  <c r="H15" i="11"/>
  <c r="F9" i="1"/>
  <c r="F14" i="1"/>
  <c r="E3" i="1"/>
  <c r="E14" i="1"/>
  <c r="E10" i="1"/>
  <c r="E12" i="1"/>
  <c r="B15" i="1"/>
  <c r="E5" i="1"/>
  <c r="E6" i="1"/>
  <c r="F6" i="1"/>
  <c r="E9" i="1"/>
  <c r="E4" i="1"/>
  <c r="F4" i="1"/>
  <c r="E7" i="1"/>
  <c r="E8" i="1"/>
  <c r="E2" i="1"/>
  <c r="B15" i="12" l="1"/>
  <c r="G7" i="13"/>
  <c r="J17" i="11"/>
  <c r="G6" i="13" s="1"/>
  <c r="H17" i="11"/>
  <c r="G12" i="1"/>
  <c r="G13" i="1"/>
  <c r="G14" i="1"/>
  <c r="G9" i="1"/>
  <c r="G10" i="1"/>
  <c r="G3" i="1"/>
  <c r="G4" i="1"/>
  <c r="G5" i="1"/>
  <c r="G6" i="1"/>
  <c r="G11" i="1"/>
  <c r="G7" i="1"/>
  <c r="G2" i="1"/>
  <c r="E15" i="1"/>
  <c r="G15" i="1" l="1"/>
</calcChain>
</file>

<file path=xl/sharedStrings.xml><?xml version="1.0" encoding="utf-8"?>
<sst xmlns="http://schemas.openxmlformats.org/spreadsheetml/2006/main" count="106" uniqueCount="96">
  <si>
    <t>Rubrica</t>
  </si>
  <si>
    <t>Previsto</t>
  </si>
  <si>
    <t>Executado</t>
  </si>
  <si>
    <t>Disponível</t>
  </si>
  <si>
    <t>I - Programa de Computador e Equipamento</t>
  </si>
  <si>
    <t>III - RH Direto</t>
  </si>
  <si>
    <t>III - RH Indireto</t>
  </si>
  <si>
    <t>VI - Outros Dispêndios Correlatos</t>
  </si>
  <si>
    <t>II - Modernização de Infraestrutura</t>
  </si>
  <si>
    <t>IV - Serviços Técnicos de Terceiros</t>
  </si>
  <si>
    <t>V - Materiais de Consumo (Protótipo)</t>
  </si>
  <si>
    <t>ISS</t>
  </si>
  <si>
    <t>Despesas de Suporte Operacional</t>
  </si>
  <si>
    <t>DOA (FAEPI)</t>
  </si>
  <si>
    <t>Fundo de Reserva (IFAM)</t>
  </si>
  <si>
    <t>Tarifas Bancárias</t>
  </si>
  <si>
    <t>Total</t>
  </si>
  <si>
    <t>%execucao_geral</t>
  </si>
  <si>
    <t>%execucao_item</t>
  </si>
  <si>
    <t>%Previsto</t>
  </si>
  <si>
    <t>POLO DE INOVACAO MANAUS - CONVENIO N 002/2026 (BIO CAROCO)</t>
  </si>
  <si>
    <t>SALDO DISPONIVEL</t>
  </si>
  <si>
    <t>Fechamento em 30/09/2026</t>
  </si>
  <si>
    <t>RECEITAS RECEBIDAS</t>
  </si>
  <si>
    <t>Aportes acumulados em conta</t>
  </si>
  <si>
    <t>TOTAL EXECUTADO</t>
  </si>
  <si>
    <t>Execucao financeira total</t>
  </si>
  <si>
    <t>RENDIMENTO FINANC.</t>
  </si>
  <si>
    <t>Rendimento liquido aplicacao</t>
  </si>
  <si>
    <t>SPRINTS ACOMP.</t>
  </si>
  <si>
    <t>Sprints 14 e 15</t>
  </si>
  <si>
    <t>Ciclo operacional ativo</t>
  </si>
  <si>
    <t>EXECUCAO ORCAMENTARIA POR RUBRICA - ORCAMENTO * EXECUTADO * DISPONIVEL</t>
  </si>
  <si>
    <t>Rubrica Orcamentaria</t>
  </si>
  <si>
    <t>Orcamento (R$)</t>
  </si>
  <si>
    <t>Executado (R$)</t>
  </si>
  <si>
    <t>Disponivel (R$)</t>
  </si>
  <si>
    <t>Exec. %</t>
  </si>
  <si>
    <t>Recursos Humanos - Bolsas P&amp;D</t>
  </si>
  <si>
    <t>Recursos Humanos Indiretos</t>
  </si>
  <si>
    <t>Servicos de Terceiros PJ (Rateio Internet)</t>
  </si>
  <si>
    <t>Tributos / ISS FAEPI</t>
  </si>
  <si>
    <t>Tarifas Bancarias (Conta SEBRAE)</t>
  </si>
  <si>
    <t>Despesa de Suporte Operacional (DOA)</t>
  </si>
  <si>
    <t>TOTAL DO PROJETO</t>
  </si>
  <si>
    <t>CONV. 002/2026 - DESEMBOLSO E EXECUCAO ORCAMENTARIA (SETEMBRO/2026)</t>
  </si>
  <si>
    <t>PARCELAS RECEBIDAS (ENTRADAS DE RECEITA)</t>
  </si>
  <si>
    <t>Parcela</t>
  </si>
  <si>
    <t>No Doc.</t>
  </si>
  <si>
    <t>Data Pagto</t>
  </si>
  <si>
    <t>Valor (R$)</t>
  </si>
  <si>
    <t>Acumulado (R$)</t>
  </si>
  <si>
    <t>01/03 EMB</t>
  </si>
  <si>
    <t>Ordem Banc.</t>
  </si>
  <si>
    <t>01/04 Emp</t>
  </si>
  <si>
    <t>NFSe 106</t>
  </si>
  <si>
    <t>Unica SEB</t>
  </si>
  <si>
    <t>Aporte Unico</t>
  </si>
  <si>
    <t>02/04 Emp</t>
  </si>
  <si>
    <t>-</t>
  </si>
  <si>
    <t>Prev. Out/26</t>
  </si>
  <si>
    <t>pendente</t>
  </si>
  <si>
    <t>02/03 EMB</t>
  </si>
  <si>
    <t>03/04 Emp</t>
  </si>
  <si>
    <t>Prev. Dez/26</t>
  </si>
  <si>
    <t>03/03 EMB</t>
  </si>
  <si>
    <t>Prev. Jan/27</t>
  </si>
  <si>
    <t>TOTAL RECEBIDO</t>
  </si>
  <si>
    <t>RESUMO FINANCEIRO CONSOLIDADO</t>
  </si>
  <si>
    <t>Creditos de setembro (Rend. Bruto)</t>
  </si>
  <si>
    <t>Debitos de setembro (Pagamentos)</t>
  </si>
  <si>
    <t>Saldo Financeiro em 30/09</t>
  </si>
  <si>
    <t>RENDIMENTOS DE APLICACAO FINANCEIRA</t>
  </si>
  <si>
    <t>Saldo inicial acumulado (Ago)</t>
  </si>
  <si>
    <t>Setembro/2026 - bruto</t>
  </si>
  <si>
    <t>Setembro/2026 - IRRF retido</t>
  </si>
  <si>
    <t>Acumulado Liquido (30/09)</t>
  </si>
  <si>
    <t>CONV. 002/2026 - ANALISE DE EXECUCAO E PONTOS DE ATENCAO (SETEMBRO/2026)</t>
  </si>
  <si>
    <t>% DE EXECUCAO POR RUBRICA ORCAMENTARIA</t>
  </si>
  <si>
    <t>% Exec.</t>
  </si>
  <si>
    <t>Recursos Humanos Diretos (Bolsas)</t>
  </si>
  <si>
    <t>Tarifas Bancarias (SEBRAE)</t>
  </si>
  <si>
    <t>Servicos Terceiros PJ (Rateio)</t>
  </si>
  <si>
    <t>Despesa Suporte Operacional (DOA)</t>
  </si>
  <si>
    <t>EXECUCAO ACUMULADA GERAL</t>
  </si>
  <si>
    <t>SALDO FINANCEIRO DISPONIVEL</t>
  </si>
  <si>
    <t>Disponibilidade imediata em 30/09/2026 (3 contas)</t>
  </si>
  <si>
    <t>PONTOS DE ATENCAO - SETEMBRO/2026</t>
  </si>
  <si>
    <t>- Integralizacao SEBRAE: Aporte 100% integralizado em conta unica (R$ 150.000,00), garantindo liquidez continua.</t>
  </si>
  <si>
    <t>- Regularidade de Bolsas: 100% das bolsas do 1o trimestre quitadas e conciliadas com a FAEPI (34 ordens bancarias).</t>
  </si>
  <si>
    <t>- Proximos Aportes: Empresa Parcela 02/04 (R$ 27,5k) e EMBRAPII Parcela 02/03 (R$ 103k) previstas p/ o 4o mes.</t>
  </si>
  <si>
    <t>- Despesas Operacionais: Auxiliar Administrativo alocado em DSO (R$ 8,4k executados / 11,6%). Tarifas SEBRAE com R$ 858,32 de saldo.</t>
  </si>
  <si>
    <t>Outros Correlatos (Internet)</t>
  </si>
  <si>
    <t>Dashboard de Saude do Projeto - Posicao Fechada em Setembro/2026 (Vinculado Dinamicamente)</t>
  </si>
  <si>
    <t>Contas Bancarias: 15334-6 (Empresa), 15335-4 (SEBRAE), 15338-9 (EMBRAPII) - Vinculado Dinamicamente</t>
  </si>
  <si>
    <t>Percentuais de Execucao por Rubrica e Destaques Gerenciais - Vinculado Dinamicamente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</si>
</sst>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1E3A8A"/>
      <name val="Segoe UI"/>
      <family val="2"/>
    </font>
    <font>
      <i/>
      <sz val="10"/>
      <color rgb="FF475569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9"/>
      <color rgb="FFFFFFFF"/>
      <name val="Segoe UI"/>
      <family val="2"/>
    </font>
    <font>
      <b/>
      <sz val="15"/>
      <color rgb="FF0F172A"/>
      <name val="Segoe UI"/>
      <family val="2"/>
    </font>
    <font>
      <i/>
      <sz val="8"/>
      <color rgb="FF64748B"/>
      <name val="Segoe UI"/>
      <family val="2"/>
    </font>
    <font>
      <b/>
      <sz val="10"/>
      <color rgb="FFFFFFFF"/>
      <name val="Segoe UI"/>
      <family val="2"/>
    </font>
    <font>
      <b/>
      <sz val="18"/>
      <color rgb="FF1E3A8A"/>
      <name val="Segoe UI"/>
      <family val="2"/>
    </font>
    <font>
      <i/>
      <sz val="8"/>
      <color rgb="FF475569"/>
      <name val="Segoe UI"/>
      <family val="2"/>
    </font>
    <font>
      <b/>
      <sz val="18"/>
      <color rgb="FF059669"/>
      <name val="Segoe UI"/>
      <family val="2"/>
    </font>
    <font>
      <sz val="8.5"/>
      <color rgb="FF0F172A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FFBEB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4"/>
    </xf>
    <xf numFmtId="44" fontId="0" fillId="0" borderId="0" xfId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1" applyNumberFormat="1" applyFont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/>
    </xf>
    <xf numFmtId="14" fontId="5" fillId="9" borderId="1" xfId="0" applyNumberFormat="1" applyFont="1" applyFill="1" applyBorder="1" applyAlignment="1">
      <alignment horizontal="center"/>
    </xf>
    <xf numFmtId="165" fontId="6" fillId="0" borderId="1" xfId="0" applyNumberFormat="1" applyFont="1" applyFill="1" applyBorder="1" applyAlignment="1">
      <alignment horizontal="center"/>
    </xf>
    <xf numFmtId="165" fontId="6" fillId="9" borderId="1" xfId="0" applyNumberFormat="1" applyFont="1" applyFill="1" applyBorder="1" applyAlignment="1">
      <alignment horizontal="center"/>
    </xf>
    <xf numFmtId="164" fontId="5" fillId="9" borderId="1" xfId="0" applyNumberFormat="1" applyFont="1" applyFill="1" applyBorder="1" applyAlignment="1">
      <alignment horizontal="right"/>
    </xf>
    <xf numFmtId="0" fontId="5" fillId="9" borderId="1" xfId="0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right"/>
    </xf>
    <xf numFmtId="0" fontId="5" fillId="0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left"/>
    </xf>
    <xf numFmtId="164" fontId="6" fillId="10" borderId="1" xfId="0" applyNumberFormat="1" applyFont="1" applyFill="1" applyBorder="1" applyAlignment="1">
      <alignment horizontal="right"/>
    </xf>
    <xf numFmtId="0" fontId="6" fillId="10" borderId="1" xfId="0" applyFont="1" applyFill="1" applyBorder="1" applyAlignment="1">
      <alignment horizontal="right"/>
    </xf>
    <xf numFmtId="165" fontId="6" fillId="10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9" fillId="0" borderId="2" xfId="0" applyFont="1" applyBorder="1"/>
    <xf numFmtId="0" fontId="0" fillId="0" borderId="2" xfId="0" applyBorder="1"/>
    <xf numFmtId="0" fontId="5" fillId="9" borderId="1" xfId="0" applyFont="1" applyFill="1" applyBorder="1" applyAlignment="1">
      <alignment horizontal="left"/>
    </xf>
    <xf numFmtId="164" fontId="5" fillId="9" borderId="1" xfId="0" applyNumberFormat="1" applyFont="1" applyFill="1" applyBorder="1" applyAlignment="1">
      <alignment horizontal="right"/>
    </xf>
    <xf numFmtId="0" fontId="5" fillId="9" borderId="1" xfId="0" applyFont="1" applyFill="1" applyBorder="1" applyAlignment="1">
      <alignment horizontal="right"/>
    </xf>
    <xf numFmtId="165" fontId="5" fillId="9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164" fontId="5" fillId="0" borderId="1" xfId="0" applyNumberFormat="1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165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8" borderId="1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right"/>
    </xf>
    <xf numFmtId="0" fontId="7" fillId="8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4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/>
    </xf>
    <xf numFmtId="164" fontId="6" fillId="11" borderId="1" xfId="0" applyNumberFormat="1" applyFont="1" applyFill="1" applyBorder="1" applyAlignment="1">
      <alignment horizontal="right"/>
    </xf>
    <xf numFmtId="0" fontId="6" fillId="11" borderId="1" xfId="0" applyFont="1" applyFill="1" applyBorder="1" applyAlignment="1">
      <alignment horizontal="right"/>
    </xf>
    <xf numFmtId="0" fontId="10" fillId="6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14" fillId="1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7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11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16"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2" justifyLastLine="0" shrinkToFit="0" readingOrder="0"/>
    </dxf>
    <dxf>
      <alignment horizontal="left" vertical="center" textRotation="0" wrapText="0" indent="2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</a:t>
            </a:r>
            <a:r>
              <a:rPr lang="pt-BR" baseline="0"/>
              <a:t> Execução por Rubrica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det_execucao_orcamentaria!$C$1</c:f>
              <c:strCache>
                <c:ptCount val="1"/>
                <c:pt idx="0">
                  <c:v>%Previsto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(det_execucao_orcamentaria!$A$2:$A$7,det_execucao_orcamentaria!$A$9:$A$14)</c:f>
              <c:strCache>
                <c:ptCount val="12"/>
                <c:pt idx="0">
                  <c:v>I - Programa de Computador e Equipamento</c:v>
                </c:pt>
                <c:pt idx="1">
                  <c:v>II - Modernização de Infraestrutura</c:v>
                </c:pt>
                <c:pt idx="2">
                  <c:v>III - RH Direto</c:v>
                </c:pt>
                <c:pt idx="3">
                  <c:v>III - RH Indireto</c:v>
                </c:pt>
                <c:pt idx="4">
                  <c:v>IV - Serviços Técnicos de Terceiros</c:v>
                </c:pt>
                <c:pt idx="5">
                  <c:v>V - Materiais de Consumo (Protótipo)</c:v>
                </c:pt>
                <c:pt idx="6">
                  <c:v>DOA (FAEPI)</c:v>
                </c:pt>
                <c:pt idx="7">
                  <c:v>Fundo de Reserva (IFAM)</c:v>
                </c:pt>
                <c:pt idx="8">
                  <c:v>ISS</c:v>
                </c:pt>
                <c:pt idx="9">
                  <c:v>Outros Correlatos (Internet)</c:v>
                </c:pt>
                <c:pt idx="10">
                  <c:v>Despesas de Suporte Operacional</c:v>
                </c:pt>
                <c:pt idx="11">
                  <c:v>Tarifas Bancárias</c:v>
                </c:pt>
              </c:strCache>
            </c:strRef>
          </c:cat>
          <c:val>
            <c:numRef>
              <c:f>(det_execucao_orcamentaria!$C$2:$C$7,det_execucao_orcamentaria!$C$9:$C$14)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7-4573-B953-7B60E575282C}"/>
            </c:ext>
          </c:extLst>
        </c:ser>
        <c:ser>
          <c:idx val="2"/>
          <c:order val="1"/>
          <c:tx>
            <c:strRef>
              <c:f>det_execucao_orcamentaria!$F$1</c:f>
              <c:strCache>
                <c:ptCount val="1"/>
                <c:pt idx="0">
                  <c:v>%execucao_item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(det_execucao_orcamentaria!$A$2:$A$7,det_execucao_orcamentaria!$A$9:$A$14)</c:f>
              <c:strCache>
                <c:ptCount val="12"/>
                <c:pt idx="0">
                  <c:v>I - Programa de Computador e Equipamento</c:v>
                </c:pt>
                <c:pt idx="1">
                  <c:v>II - Modernização de Infraestrutura</c:v>
                </c:pt>
                <c:pt idx="2">
                  <c:v>III - RH Direto</c:v>
                </c:pt>
                <c:pt idx="3">
                  <c:v>III - RH Indireto</c:v>
                </c:pt>
                <c:pt idx="4">
                  <c:v>IV - Serviços Técnicos de Terceiros</c:v>
                </c:pt>
                <c:pt idx="5">
                  <c:v>V - Materiais de Consumo (Protótipo)</c:v>
                </c:pt>
                <c:pt idx="6">
                  <c:v>DOA (FAEPI)</c:v>
                </c:pt>
                <c:pt idx="7">
                  <c:v>Fundo de Reserva (IFAM)</c:v>
                </c:pt>
                <c:pt idx="8">
                  <c:v>ISS</c:v>
                </c:pt>
                <c:pt idx="9">
                  <c:v>Outros Correlatos (Internet)</c:v>
                </c:pt>
                <c:pt idx="10">
                  <c:v>Despesas de Suporte Operacional</c:v>
                </c:pt>
                <c:pt idx="11">
                  <c:v>Tarifas Bancárias</c:v>
                </c:pt>
              </c:strCache>
            </c:strRef>
          </c:cat>
          <c:val>
            <c:numRef>
              <c:f>(det_execucao_orcamentaria!$F$2:$F$7,det_execucao_orcamentaria!$F$9:$F$14)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0.29312227074235808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97-4573-B953-7B60E5752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902912"/>
        <c:axId val="1467891872"/>
      </c:radarChart>
      <c:catAx>
        <c:axId val="146790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891872"/>
        <c:crosses val="autoZero"/>
        <c:auto val="1"/>
        <c:lblAlgn val="ctr"/>
        <c:lblOffset val="100"/>
        <c:noMultiLvlLbl val="0"/>
      </c:catAx>
      <c:valAx>
        <c:axId val="14678918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6790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537881</xdr:colOff>
      <xdr:row>2</xdr:row>
      <xdr:rowOff>112058</xdr:rowOff>
    </xdr:from>
    <xdr:to>
      <xdr:col>12</xdr:col>
      <xdr:colOff>1064558</xdr:colOff>
      <xdr:row>32</xdr:row>
      <xdr:rowOff>22412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5A16056-B373-AB54-64D4-B13CC294F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RGUS\gestao_projetos\execucao_financeira\execucao_orcamentaria.xlsx" TargetMode="External"/><Relationship Id="rId1" Type="http://schemas.openxmlformats.org/officeDocument/2006/relationships/externalLinkPath" Target="execucao_orcamentari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RGUS\gestao_projetos\execucao_financeira\DISPE&#770;NDIOS%20-%20CV_002-2026%20-%20BIO%20CAROCO%202026.xlsx" TargetMode="External"/><Relationship Id="rId1" Type="http://schemas.openxmlformats.org/officeDocument/2006/relationships/externalLinkPath" Target="DISPE&#770;NDIOS%20-%20CV_002-2026%20-%20BIO%20CAROCO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xecucao_financei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camento_empresa"/>
      <sheetName val="orcamento_embrabii"/>
      <sheetName val="orcamento_sebrae"/>
      <sheetName val="orcamento_biocaroco"/>
    </sheetNames>
    <sheetDataSet>
      <sheetData sheetId="0" refreshError="1"/>
      <sheetData sheetId="1" refreshError="1"/>
      <sheetData sheetId="2" refreshError="1"/>
      <sheetData sheetId="3">
        <row r="4">
          <cell r="B4">
            <v>0</v>
          </cell>
        </row>
        <row r="5">
          <cell r="B5">
            <v>0</v>
          </cell>
        </row>
        <row r="6">
          <cell r="B6">
            <v>458000</v>
          </cell>
        </row>
        <row r="8">
          <cell r="B8">
            <v>8937</v>
          </cell>
        </row>
        <row r="9">
          <cell r="B9">
            <v>0</v>
          </cell>
        </row>
        <row r="14">
          <cell r="B14">
            <v>1000</v>
          </cell>
        </row>
        <row r="16">
          <cell r="B16">
            <v>900</v>
          </cell>
        </row>
        <row r="18">
          <cell r="B18">
            <v>60883</v>
          </cell>
        </row>
        <row r="19">
          <cell r="B19">
            <v>11380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PENDIO Geral Empresa"/>
      <sheetName val="Fluxo de Caixa"/>
      <sheetName val="Cronograma Desembolso"/>
      <sheetName val="Pagamento RH e DSO"/>
      <sheetName val="Controle - Remanejamento"/>
    </sheetNames>
    <sheetDataSet>
      <sheetData sheetId="0" refreshError="1"/>
      <sheetData sheetId="1" refreshError="1"/>
      <sheetData sheetId="2">
        <row r="4">
          <cell r="E4">
            <v>0</v>
          </cell>
        </row>
        <row r="5">
          <cell r="E5">
            <v>0</v>
          </cell>
        </row>
        <row r="6">
          <cell r="E6">
            <v>134250</v>
          </cell>
        </row>
        <row r="19">
          <cell r="D19">
            <v>0</v>
          </cell>
          <cell r="E19">
            <v>0</v>
          </cell>
        </row>
        <row r="20">
          <cell r="E20">
            <v>0</v>
          </cell>
        </row>
        <row r="23">
          <cell r="E23">
            <v>0</v>
          </cell>
        </row>
        <row r="27">
          <cell r="E27">
            <v>0</v>
          </cell>
        </row>
        <row r="28">
          <cell r="D28">
            <v>22400</v>
          </cell>
          <cell r="E28">
            <v>8400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ato_bancario"/>
      <sheetName val="dinamic"/>
    </sheetNames>
    <sheetDataSet>
      <sheetData sheetId="0">
        <row r="1">
          <cell r="C1" t="str">
            <v>mês</v>
          </cell>
        </row>
        <row r="2">
          <cell r="B2">
            <v>46204</v>
          </cell>
          <cell r="J2">
            <v>27500</v>
          </cell>
        </row>
        <row r="3">
          <cell r="J3">
            <v>-1375</v>
          </cell>
        </row>
        <row r="4">
          <cell r="J4">
            <v>-2750</v>
          </cell>
        </row>
        <row r="5">
          <cell r="J5">
            <v>184.68</v>
          </cell>
        </row>
        <row r="6">
          <cell r="J6">
            <v>-1.34</v>
          </cell>
        </row>
        <row r="7">
          <cell r="J7">
            <v>-10.92</v>
          </cell>
        </row>
        <row r="8">
          <cell r="J8">
            <v>154.41</v>
          </cell>
        </row>
        <row r="9">
          <cell r="J9">
            <v>-6.32</v>
          </cell>
        </row>
        <row r="10">
          <cell r="J10">
            <v>88.34</v>
          </cell>
        </row>
        <row r="11">
          <cell r="J11">
            <v>-12.34</v>
          </cell>
        </row>
        <row r="12">
          <cell r="J12">
            <v>-2800</v>
          </cell>
        </row>
        <row r="13">
          <cell r="J13">
            <v>-2800</v>
          </cell>
        </row>
        <row r="14">
          <cell r="J14">
            <v>-2800</v>
          </cell>
        </row>
        <row r="15">
          <cell r="J15">
            <v>-128.58000000000001</v>
          </cell>
        </row>
        <row r="16">
          <cell r="J16">
            <v>-128.57</v>
          </cell>
        </row>
        <row r="17">
          <cell r="J17">
            <v>-34.5</v>
          </cell>
        </row>
        <row r="18">
          <cell r="J18">
            <v>-1.7</v>
          </cell>
        </row>
        <row r="19">
          <cell r="J19">
            <v>-34.5</v>
          </cell>
        </row>
        <row r="20">
          <cell r="J20">
            <v>-34.5</v>
          </cell>
        </row>
        <row r="21">
          <cell r="J21">
            <v>986.69</v>
          </cell>
        </row>
        <row r="22">
          <cell r="J22">
            <v>-1.77</v>
          </cell>
        </row>
        <row r="23">
          <cell r="J23">
            <v>-21.31</v>
          </cell>
        </row>
        <row r="24">
          <cell r="J24">
            <v>795.84</v>
          </cell>
        </row>
        <row r="25">
          <cell r="J25">
            <v>-117.23</v>
          </cell>
        </row>
        <row r="26">
          <cell r="J26">
            <v>-20.95</v>
          </cell>
        </row>
        <row r="27">
          <cell r="J27">
            <v>249.61</v>
          </cell>
        </row>
        <row r="28">
          <cell r="J28">
            <v>-200.93</v>
          </cell>
        </row>
        <row r="29">
          <cell r="B29">
            <v>46211</v>
          </cell>
          <cell r="J29">
            <v>150000</v>
          </cell>
        </row>
        <row r="30">
          <cell r="J30">
            <v>-12000</v>
          </cell>
        </row>
        <row r="31">
          <cell r="J31">
            <v>-12000</v>
          </cell>
        </row>
        <row r="32">
          <cell r="J32">
            <v>-5000</v>
          </cell>
        </row>
        <row r="33">
          <cell r="J33">
            <v>-5000</v>
          </cell>
        </row>
        <row r="34">
          <cell r="J34">
            <v>-7000</v>
          </cell>
        </row>
        <row r="35">
          <cell r="J35">
            <v>-2000</v>
          </cell>
        </row>
        <row r="36">
          <cell r="J36">
            <v>-2000</v>
          </cell>
        </row>
        <row r="37">
          <cell r="J37">
            <v>-2000</v>
          </cell>
        </row>
        <row r="38">
          <cell r="J38">
            <v>-2000</v>
          </cell>
        </row>
        <row r="39">
          <cell r="J39">
            <v>-2000</v>
          </cell>
        </row>
        <row r="40">
          <cell r="J40">
            <v>-2000</v>
          </cell>
        </row>
        <row r="41">
          <cell r="J41">
            <v>-2000</v>
          </cell>
        </row>
        <row r="42">
          <cell r="J42">
            <v>-5000</v>
          </cell>
        </row>
        <row r="43">
          <cell r="J43">
            <v>-2000</v>
          </cell>
        </row>
        <row r="44">
          <cell r="J44">
            <v>-5000</v>
          </cell>
        </row>
        <row r="45">
          <cell r="J45">
            <v>-5000</v>
          </cell>
        </row>
        <row r="46">
          <cell r="J46">
            <v>-12000</v>
          </cell>
        </row>
        <row r="47">
          <cell r="J47">
            <v>-5000</v>
          </cell>
        </row>
        <row r="48">
          <cell r="J48">
            <v>-2000</v>
          </cell>
        </row>
        <row r="49">
          <cell r="J49">
            <v>-2000</v>
          </cell>
        </row>
        <row r="50">
          <cell r="J50">
            <v>-7000</v>
          </cell>
        </row>
        <row r="51">
          <cell r="J51">
            <v>-7000</v>
          </cell>
        </row>
        <row r="52">
          <cell r="J52">
            <v>-5000</v>
          </cell>
        </row>
        <row r="53">
          <cell r="J53">
            <v>-5000</v>
          </cell>
        </row>
        <row r="54">
          <cell r="J54">
            <v>-2000</v>
          </cell>
        </row>
        <row r="55">
          <cell r="J55">
            <v>-5000</v>
          </cell>
        </row>
        <row r="56">
          <cell r="J56">
            <v>-3.16</v>
          </cell>
        </row>
        <row r="57">
          <cell r="J57">
            <v>-34.5</v>
          </cell>
        </row>
        <row r="58">
          <cell r="J58">
            <v>-12.64</v>
          </cell>
        </row>
        <row r="59">
          <cell r="J59">
            <v>-28.44</v>
          </cell>
        </row>
        <row r="60">
          <cell r="J60">
            <v>-34.5</v>
          </cell>
        </row>
        <row r="61">
          <cell r="J61">
            <v>-3.16</v>
          </cell>
        </row>
        <row r="62">
          <cell r="J62">
            <v>-6.32</v>
          </cell>
        </row>
        <row r="63">
          <cell r="J63">
            <v>-18.96</v>
          </cell>
        </row>
        <row r="64">
          <cell r="J64">
            <v>334.52</v>
          </cell>
        </row>
        <row r="65">
          <cell r="J65">
            <v>972.5</v>
          </cell>
        </row>
        <row r="66">
          <cell r="J66">
            <v>-0.01</v>
          </cell>
        </row>
        <row r="67">
          <cell r="J67">
            <v>-7.0000000000000007E-2</v>
          </cell>
        </row>
        <row r="68">
          <cell r="J68">
            <v>859.45</v>
          </cell>
        </row>
        <row r="69">
          <cell r="J69">
            <v>-14.42</v>
          </cell>
        </row>
        <row r="70">
          <cell r="J70">
            <v>535.78</v>
          </cell>
        </row>
        <row r="71">
          <cell r="J71">
            <v>-32.07</v>
          </cell>
        </row>
        <row r="72">
          <cell r="B72">
            <v>46190</v>
          </cell>
          <cell r="J72">
            <v>103000</v>
          </cell>
        </row>
        <row r="73">
          <cell r="J73">
            <v>-2000</v>
          </cell>
        </row>
        <row r="74">
          <cell r="J74">
            <v>-2125</v>
          </cell>
        </row>
        <row r="75">
          <cell r="J75">
            <v>-2000</v>
          </cell>
        </row>
        <row r="76">
          <cell r="J76">
            <v>-2000</v>
          </cell>
        </row>
        <row r="77">
          <cell r="J77">
            <v>-2125</v>
          </cell>
        </row>
        <row r="78">
          <cell r="J78">
            <v>-34.5</v>
          </cell>
        </row>
        <row r="79">
          <cell r="J79">
            <v>-34.5</v>
          </cell>
        </row>
        <row r="80">
          <cell r="J80">
            <v>-3.16</v>
          </cell>
        </row>
        <row r="81">
          <cell r="J81">
            <v>-3.16</v>
          </cell>
        </row>
        <row r="82">
          <cell r="J82">
            <v>-34.5</v>
          </cell>
        </row>
        <row r="83">
          <cell r="J83">
            <v>-3.16</v>
          </cell>
        </row>
        <row r="84">
          <cell r="J84">
            <v>-6.32</v>
          </cell>
        </row>
        <row r="85">
          <cell r="J85"/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E7327E-8C00-4373-B27E-01D469115BE9}" name="det_execucao_orcamentaria" displayName="det_execucao_orcamentaria" ref="A1:G15" totalsRowCount="1" headerRowDxfId="15" dataDxfId="14">
  <autoFilter ref="A1:G14" xr:uid="{A1E7327E-8C00-4373-B27E-01D469115BE9}"/>
  <tableColumns count="7">
    <tableColumn id="1" xr3:uid="{7439D715-5CDD-4F38-B2EA-0FE0B4DF4F8C}" name="Rubrica" totalsRowLabel="Total" dataDxfId="13" totalsRowDxfId="12"/>
    <tableColumn id="2" xr3:uid="{93BF2F5C-62F0-4B9D-BBD9-CC2696EDB946}" name="Previsto" totalsRowFunction="sum" dataDxfId="11" totalsRowDxfId="10" dataCellStyle="Moeda"/>
    <tableColumn id="8" xr3:uid="{864651BE-3F1F-4547-80D6-64F66C7D99C1}" name="%Previsto" dataDxfId="9" totalsRowDxfId="8" dataCellStyle="Moeda"/>
    <tableColumn id="3" xr3:uid="{31506921-43AE-4DA8-A1F2-EAD1B19ED4EA}" name="Executado" totalsRowFunction="sum" dataDxfId="7" totalsRowDxfId="6" dataCellStyle="Moeda">
      <calculatedColumnFormula>'[2]Cronograma Desembolso'!$E$5</calculatedColumnFormula>
    </tableColumn>
    <tableColumn id="4" xr3:uid="{0441782E-2B8B-4127-8A1A-2245A1B11DD9}" name="Disponível" totalsRowFunction="sum" dataDxfId="5" totalsRowDxfId="4" dataCellStyle="Moeda">
      <calculatedColumnFormula>det_execucao_orcamentaria[[#This Row],[Previsto]]-det_execucao_orcamentaria[[#This Row],[Executado]]</calculatedColumnFormula>
    </tableColumn>
    <tableColumn id="5" xr3:uid="{6907C160-B7A1-4754-A7D0-3F537F3AB54A}" name="%execucao_item" dataDxfId="3" totalsRowDxfId="2" dataCellStyle="Porcentagem">
      <calculatedColumnFormula>IF(det_execucao_orcamentaria[[#This Row],[Previsto]]=0,"",det_execucao_orcamentaria[[#This Row],[Executado]]/det_execucao_orcamentaria[[#This Row],[Previsto]])</calculatedColumnFormula>
    </tableColumn>
    <tableColumn id="6" xr3:uid="{FE040403-9E54-4FC7-86E3-84C26CB4212E}" name="%execucao_geral" totalsRowFunction="sum" dataDxfId="1" totalsRowDxfId="0" dataCellStyle="Porcentagem">
      <calculatedColumnFormula>det_execucao_orcamentaria[[#This Row],[Executado]]/det_execucao_orcamentaria[[#Totals],[Previsto]]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showGridLines="0" zoomScale="85" zoomScaleNormal="85" workbookViewId="0">
      <selection activeCell="G15" sqref="G15"/>
    </sheetView>
  </sheetViews>
  <sheetFormatPr defaultColWidth="20.7109375" defaultRowHeight="15" x14ac:dyDescent="0.25"/>
  <cols>
    <col min="1" max="1" width="45.85546875" style="2" bestFit="1" customWidth="1"/>
    <col min="2" max="2" width="14.28515625" style="1" bestFit="1" customWidth="1"/>
    <col min="3" max="3" width="14.28515625" style="1" customWidth="1"/>
    <col min="4" max="4" width="14.7109375" style="1" bestFit="1" customWidth="1"/>
    <col min="5" max="5" width="15" style="1" bestFit="1" customWidth="1"/>
    <col min="6" max="6" width="20.7109375" style="1"/>
    <col min="7" max="7" width="21" bestFit="1" customWidth="1"/>
  </cols>
  <sheetData>
    <row r="1" spans="1:7" x14ac:dyDescent="0.25">
      <c r="A1" s="3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18</v>
      </c>
      <c r="G1" s="1" t="s">
        <v>17</v>
      </c>
    </row>
    <row r="2" spans="1:7" x14ac:dyDescent="0.25">
      <c r="A2" s="4" t="s">
        <v>4</v>
      </c>
      <c r="B2" s="6">
        <f>[1]orcamento_biocaroco!$B$4</f>
        <v>0</v>
      </c>
      <c r="C2" s="11">
        <v>1</v>
      </c>
      <c r="D2" s="6">
        <f>'[2]Cronograma Desembolso'!$E$4</f>
        <v>0</v>
      </c>
      <c r="E2" s="6">
        <f>det_execucao_orcamentaria[[#This Row],[Previsto]]-det_execucao_orcamentaria[[#This Row],[Executado]]</f>
        <v>0</v>
      </c>
      <c r="F2" s="9">
        <f>IF(det_execucao_orcamentaria[[#This Row],[Previsto]]=0,0,det_execucao_orcamentaria[[#This Row],[Executado]]/det_execucao_orcamentaria[[#This Row],[Previsto]])</f>
        <v>0</v>
      </c>
      <c r="G2" s="9">
        <f>det_execucao_orcamentaria[[#This Row],[Executado]]/det_execucao_orcamentaria[[#Totals],[Previsto]]</f>
        <v>0</v>
      </c>
    </row>
    <row r="3" spans="1:7" x14ac:dyDescent="0.25">
      <c r="A3" s="4" t="s">
        <v>8</v>
      </c>
      <c r="B3" s="6">
        <f>[1]orcamento_biocaroco!$B$5</f>
        <v>0</v>
      </c>
      <c r="C3" s="11">
        <v>1</v>
      </c>
      <c r="D3" s="6">
        <f>'[2]Cronograma Desembolso'!$E$5</f>
        <v>0</v>
      </c>
      <c r="E3" s="6">
        <f>det_execucao_orcamentaria[[#This Row],[Previsto]]-det_execucao_orcamentaria[[#This Row],[Executado]]</f>
        <v>0</v>
      </c>
      <c r="F3" s="9">
        <f>IF(det_execucao_orcamentaria[[#This Row],[Previsto]]=0,0,det_execucao_orcamentaria[[#This Row],[Executado]]/det_execucao_orcamentaria[[#This Row],[Previsto]])</f>
        <v>0</v>
      </c>
      <c r="G3" s="9">
        <f>det_execucao_orcamentaria[[#This Row],[Executado]]/det_execucao_orcamentaria[[#Totals],[Previsto]]</f>
        <v>0</v>
      </c>
    </row>
    <row r="4" spans="1:7" x14ac:dyDescent="0.25">
      <c r="A4" s="4" t="s">
        <v>5</v>
      </c>
      <c r="B4" s="6">
        <f>[1]orcamento_biocaroco!$B$6</f>
        <v>458000</v>
      </c>
      <c r="C4" s="11">
        <v>1</v>
      </c>
      <c r="D4" s="6">
        <f>'[2]Cronograma Desembolso'!$E$6</f>
        <v>134250</v>
      </c>
      <c r="E4" s="6">
        <f>det_execucao_orcamentaria[[#This Row],[Previsto]]-det_execucao_orcamentaria[[#This Row],[Executado]]</f>
        <v>323750</v>
      </c>
      <c r="F4" s="9">
        <f>IF(det_execucao_orcamentaria[[#This Row],[Previsto]]=0,"",det_execucao_orcamentaria[[#This Row],[Executado]]/det_execucao_orcamentaria[[#This Row],[Previsto]])</f>
        <v>0.29312227074235808</v>
      </c>
      <c r="G4" s="9">
        <f>det_execucao_orcamentaria[[#This Row],[Executado]]/det_execucao_orcamentaria[[#Totals],[Previsto]]</f>
        <v>0.23594024604569419</v>
      </c>
    </row>
    <row r="5" spans="1:7" x14ac:dyDescent="0.25">
      <c r="A5" s="4" t="s">
        <v>6</v>
      </c>
      <c r="B5" s="6">
        <f>'[2]Cronograma Desembolso'!$D$19</f>
        <v>0</v>
      </c>
      <c r="C5" s="11">
        <v>1</v>
      </c>
      <c r="D5" s="6">
        <f>'[2]Cronograma Desembolso'!$E$19</f>
        <v>0</v>
      </c>
      <c r="E5" s="6">
        <f>det_execucao_orcamentaria[[#This Row],[Previsto]]-det_execucao_orcamentaria[[#This Row],[Executado]]</f>
        <v>0</v>
      </c>
      <c r="F5" s="9" t="str">
        <f>IF(det_execucao_orcamentaria[[#This Row],[Previsto]]=0,"",det_execucao_orcamentaria[[#This Row],[Executado]]/det_execucao_orcamentaria[[#This Row],[Previsto]])</f>
        <v/>
      </c>
      <c r="G5" s="9">
        <f>det_execucao_orcamentaria[[#This Row],[Executado]]/det_execucao_orcamentaria[[#Totals],[Previsto]]</f>
        <v>0</v>
      </c>
    </row>
    <row r="6" spans="1:7" x14ac:dyDescent="0.25">
      <c r="A6" s="4" t="s">
        <v>9</v>
      </c>
      <c r="B6" s="6">
        <f>[1]orcamento_biocaroco!$B$8</f>
        <v>8937</v>
      </c>
      <c r="C6" s="11">
        <v>1</v>
      </c>
      <c r="D6" s="6">
        <f>'[2]Cronograma Desembolso'!$E$20</f>
        <v>0</v>
      </c>
      <c r="E6" s="6">
        <f>det_execucao_orcamentaria[[#This Row],[Previsto]]-det_execucao_orcamentaria[[#This Row],[Executado]]</f>
        <v>8937</v>
      </c>
      <c r="F6" s="9">
        <f>IF(det_execucao_orcamentaria[[#This Row],[Previsto]]=0,"",det_execucao_orcamentaria[[#This Row],[Executado]]/det_execucao_orcamentaria[[#This Row],[Previsto]])</f>
        <v>0</v>
      </c>
      <c r="G6" s="9">
        <f>det_execucao_orcamentaria[[#This Row],[Executado]]/det_execucao_orcamentaria[[#Totals],[Previsto]]</f>
        <v>0</v>
      </c>
    </row>
    <row r="7" spans="1:7" x14ac:dyDescent="0.25">
      <c r="A7" s="4" t="s">
        <v>10</v>
      </c>
      <c r="B7" s="6">
        <f>[1]orcamento_biocaroco!$B$9</f>
        <v>0</v>
      </c>
      <c r="C7" s="11">
        <v>1</v>
      </c>
      <c r="D7" s="6">
        <f>'[2]Cronograma Desembolso'!$E$23</f>
        <v>0</v>
      </c>
      <c r="E7" s="6">
        <f>det_execucao_orcamentaria[[#This Row],[Previsto]]-det_execucao_orcamentaria[[#This Row],[Executado]]</f>
        <v>0</v>
      </c>
      <c r="F7" s="9">
        <f>IF(det_execucao_orcamentaria[[#This Row],[Previsto]]=0,0,det_execucao_orcamentaria[[#This Row],[Executado]]/det_execucao_orcamentaria[[#This Row],[Previsto]])</f>
        <v>0</v>
      </c>
      <c r="G7" s="9">
        <f>det_execucao_orcamentaria[[#This Row],[Executado]]/det_execucao_orcamentaria[[#Totals],[Previsto]]</f>
        <v>0</v>
      </c>
    </row>
    <row r="8" spans="1:7" x14ac:dyDescent="0.25">
      <c r="A8" s="4" t="s">
        <v>7</v>
      </c>
      <c r="B8" s="6"/>
      <c r="C8" s="6"/>
      <c r="D8" s="6">
        <f>'[2]Cronograma Desembolso'!$E$5</f>
        <v>0</v>
      </c>
      <c r="E8" s="6">
        <f>det_execucao_orcamentaria[[#This Row],[Previsto]]-det_execucao_orcamentaria[[#This Row],[Executado]]</f>
        <v>0</v>
      </c>
      <c r="F8" s="9">
        <f>IF(det_execucao_orcamentaria[[#This Row],[Previsto]]=0,0,det_execucao_orcamentaria[[#This Row],[Executado]]/det_execucao_orcamentaria[[#This Row],[Previsto]])</f>
        <v>0</v>
      </c>
      <c r="G8" s="9"/>
    </row>
    <row r="9" spans="1:7" x14ac:dyDescent="0.25">
      <c r="A9" s="5" t="s">
        <v>13</v>
      </c>
      <c r="B9" s="6">
        <f>[1]orcamento_biocaroco!$B$18</f>
        <v>60883</v>
      </c>
      <c r="C9" s="11">
        <v>1</v>
      </c>
      <c r="D9" s="6">
        <f>'[2]Cronograma Desembolso'!$E$30</f>
        <v>0</v>
      </c>
      <c r="E9" s="6">
        <f>det_execucao_orcamentaria[[#This Row],[Previsto]]-det_execucao_orcamentaria[[#This Row],[Executado]]</f>
        <v>60883</v>
      </c>
      <c r="F9" s="9">
        <f>IF(det_execucao_orcamentaria[[#This Row],[Previsto]]=0,0,det_execucao_orcamentaria[[#This Row],[Executado]]/det_execucao_orcamentaria[[#This Row],[Previsto]])</f>
        <v>0</v>
      </c>
      <c r="G9" s="9">
        <f>det_execucao_orcamentaria[[#This Row],[Executado]]/det_execucao_orcamentaria[[#Totals],[Previsto]]</f>
        <v>0</v>
      </c>
    </row>
    <row r="10" spans="1:7" x14ac:dyDescent="0.25">
      <c r="A10" s="5" t="s">
        <v>14</v>
      </c>
      <c r="B10" s="6">
        <f>[1]orcamento_biocaroco!$B$19</f>
        <v>11380</v>
      </c>
      <c r="C10" s="11">
        <v>1</v>
      </c>
      <c r="D10" s="6">
        <f>'[2]Cronograma Desembolso'!$E$31</f>
        <v>0</v>
      </c>
      <c r="E10" s="6">
        <f>det_execucao_orcamentaria[[#This Row],[Previsto]]-det_execucao_orcamentaria[[#This Row],[Executado]]</f>
        <v>11380</v>
      </c>
      <c r="F10" s="9">
        <f>IF(det_execucao_orcamentaria[[#This Row],[Previsto]]=0,0,det_execucao_orcamentaria[[#This Row],[Executado]]/det_execucao_orcamentaria[[#This Row],[Previsto]])</f>
        <v>0</v>
      </c>
      <c r="G10" s="9">
        <f>det_execucao_orcamentaria[[#This Row],[Executado]]/det_execucao_orcamentaria[[#Totals],[Previsto]]</f>
        <v>0</v>
      </c>
    </row>
    <row r="11" spans="1:7" x14ac:dyDescent="0.25">
      <c r="A11" s="5" t="s">
        <v>11</v>
      </c>
      <c r="B11" s="6">
        <v>5500</v>
      </c>
      <c r="C11" s="11">
        <v>1</v>
      </c>
      <c r="D11" s="6">
        <f>'[2]Cronograma Desembolso'!$E$32</f>
        <v>0</v>
      </c>
      <c r="E11" s="6">
        <f>det_execucao_orcamentaria[[#This Row],[Previsto]]-det_execucao_orcamentaria[[#This Row],[Executado]]</f>
        <v>5500</v>
      </c>
      <c r="F11" s="9">
        <f>IF(det_execucao_orcamentaria[[#This Row],[Previsto]]=0,0,det_execucao_orcamentaria[[#This Row],[Executado]]/det_execucao_orcamentaria[[#This Row],[Previsto]])</f>
        <v>0</v>
      </c>
      <c r="G11" s="9">
        <f>det_execucao_orcamentaria[[#This Row],[Executado]]/det_execucao_orcamentaria[[#Totals],[Previsto]]</f>
        <v>0</v>
      </c>
    </row>
    <row r="12" spans="1:7" x14ac:dyDescent="0.25">
      <c r="A12" s="5" t="s">
        <v>92</v>
      </c>
      <c r="B12" s="6">
        <f>[1]orcamento_biocaroco!$B$16</f>
        <v>900</v>
      </c>
      <c r="C12" s="11">
        <v>1</v>
      </c>
      <c r="D12" s="6">
        <f>'[2]Cronograma Desembolso'!$E$30</f>
        <v>0</v>
      </c>
      <c r="E12" s="6">
        <f>det_execucao_orcamentaria[[#This Row],[Previsto]]-det_execucao_orcamentaria[[#This Row],[Executado]]</f>
        <v>900</v>
      </c>
      <c r="F12" s="9">
        <f>IF(det_execucao_orcamentaria[[#This Row],[Previsto]]=0,0,det_execucao_orcamentaria[[#This Row],[Executado]]/det_execucao_orcamentaria[[#This Row],[Previsto]])</f>
        <v>0</v>
      </c>
      <c r="G12" s="9">
        <f>det_execucao_orcamentaria[[#This Row],[Executado]]/det_execucao_orcamentaria[[#Totals],[Previsto]]</f>
        <v>0</v>
      </c>
    </row>
    <row r="13" spans="1:7" x14ac:dyDescent="0.25">
      <c r="A13" s="5" t="s">
        <v>12</v>
      </c>
      <c r="B13" s="6">
        <f>'[2]Cronograma Desembolso'!$D$28</f>
        <v>22400</v>
      </c>
      <c r="C13" s="11">
        <v>1</v>
      </c>
      <c r="D13" s="6">
        <f>'[2]Cronograma Desembolso'!$E$28</f>
        <v>8400</v>
      </c>
      <c r="E13" s="6">
        <f>det_execucao_orcamentaria[[#This Row],[Previsto]]-det_execucao_orcamentaria[[#This Row],[Executado]]</f>
        <v>14000</v>
      </c>
      <c r="F13" s="9">
        <f>IF(det_execucao_orcamentaria[[#This Row],[Previsto]]=0,0,det_execucao_orcamentaria[[#This Row],[Executado]]/det_execucao_orcamentaria[[#This Row],[Previsto]])</f>
        <v>0.375</v>
      </c>
      <c r="G13" s="9">
        <f>det_execucao_orcamentaria[[#This Row],[Executado]]/det_execucao_orcamentaria[[#Totals],[Previsto]]</f>
        <v>1.4762741652021089E-2</v>
      </c>
    </row>
    <row r="14" spans="1:7" x14ac:dyDescent="0.25">
      <c r="A14" s="5" t="s">
        <v>15</v>
      </c>
      <c r="B14" s="6">
        <f>[1]orcamento_biocaroco!$B$14</f>
        <v>1000</v>
      </c>
      <c r="C14" s="11">
        <v>1</v>
      </c>
      <c r="D14" s="6">
        <f>'[2]Cronograma Desembolso'!$E$27</f>
        <v>0</v>
      </c>
      <c r="E14" s="6">
        <f>det_execucao_orcamentaria[[#This Row],[Previsto]]-det_execucao_orcamentaria[[#This Row],[Executado]]</f>
        <v>1000</v>
      </c>
      <c r="F14" s="9">
        <f>IF(det_execucao_orcamentaria[[#This Row],[Previsto]]=0,0,det_execucao_orcamentaria[[#This Row],[Executado]]/det_execucao_orcamentaria[[#This Row],[Previsto]])</f>
        <v>0</v>
      </c>
      <c r="G14" s="9">
        <f>det_execucao_orcamentaria[[#This Row],[Executado]]/det_execucao_orcamentaria[[#Totals],[Previsto]]</f>
        <v>0</v>
      </c>
    </row>
    <row r="15" spans="1:7" x14ac:dyDescent="0.25">
      <c r="A15" s="2" t="s">
        <v>16</v>
      </c>
      <c r="B15" s="8">
        <f>SUBTOTAL(109,det_execucao_orcamentaria[Previsto])</f>
        <v>569000</v>
      </c>
      <c r="C15" s="8"/>
      <c r="D15" s="8">
        <f>SUBTOTAL(109,det_execucao_orcamentaria[Executado])</f>
        <v>142650</v>
      </c>
      <c r="E15" s="8">
        <f>SUBTOTAL(109,det_execucao_orcamentaria[Disponível])</f>
        <v>426350</v>
      </c>
      <c r="F15" s="7"/>
      <c r="G15" s="10">
        <f>SUBTOTAL(109,det_execucao_orcamentaria[%execucao_geral])</f>
        <v>0.25070298769771526</v>
      </c>
    </row>
  </sheetData>
  <pageMargins left="0.7" right="0.7" top="0.75" bottom="0.75" header="0.3" footer="0.3"/>
  <ignoredErrors>
    <ignoredError sqref="F2:F3 F7:F14 D13:D14 D12 D8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B3C7-84EA-4EDE-AF1C-60FA0AC0CB35}">
  <dimension ref="B2:K18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16.7109375" customWidth="1"/>
    <col min="4" max="11" width="15.7109375" customWidth="1"/>
  </cols>
  <sheetData>
    <row r="2" spans="2:11" ht="18.75" x14ac:dyDescent="0.35">
      <c r="B2" s="48" t="s">
        <v>20</v>
      </c>
      <c r="C2" s="49"/>
      <c r="D2" s="49"/>
      <c r="E2" s="49"/>
      <c r="F2" s="49"/>
      <c r="G2" s="49"/>
      <c r="H2" s="49"/>
      <c r="I2" s="49"/>
      <c r="J2" s="49"/>
      <c r="K2" s="49"/>
    </row>
    <row r="3" spans="2:11" x14ac:dyDescent="0.25">
      <c r="B3" s="50" t="s">
        <v>93</v>
      </c>
      <c r="C3" s="49"/>
      <c r="D3" s="49"/>
      <c r="E3" s="49"/>
      <c r="F3" s="49"/>
      <c r="G3" s="49"/>
      <c r="H3" s="49"/>
      <c r="I3" s="49"/>
      <c r="J3" s="49"/>
      <c r="K3" s="49"/>
    </row>
    <row r="5" spans="2:11" x14ac:dyDescent="0.25">
      <c r="B5" s="51" t="s">
        <v>21</v>
      </c>
      <c r="C5" s="51"/>
      <c r="D5" s="52" t="s">
        <v>23</v>
      </c>
      <c r="E5" s="52"/>
      <c r="F5" s="53" t="s">
        <v>25</v>
      </c>
      <c r="G5" s="53"/>
      <c r="H5" s="44" t="s">
        <v>27</v>
      </c>
      <c r="I5" s="44"/>
      <c r="J5" s="47" t="s">
        <v>29</v>
      </c>
      <c r="K5" s="47"/>
    </row>
    <row r="6" spans="2:11" ht="24" x14ac:dyDescent="0.25">
      <c r="B6" s="45">
        <f>'Slide 3 - Desembolso e Contas'!J8</f>
        <v>137823.80999999997</v>
      </c>
      <c r="C6" s="46"/>
      <c r="D6" s="45">
        <f>'Slide 3 - Desembolso e Contas'!E14</f>
        <v>280500</v>
      </c>
      <c r="E6" s="46"/>
      <c r="F6" s="45">
        <f>'Slide 2 - Saude do Projeto'!F17</f>
        <v>147173.82999999999</v>
      </c>
      <c r="G6" s="46"/>
      <c r="H6" s="45">
        <f>'Slide 3 - Desembolso e Contas'!J14</f>
        <v>4722.1400000000003</v>
      </c>
      <c r="I6" s="46"/>
      <c r="J6" s="46" t="s">
        <v>30</v>
      </c>
      <c r="K6" s="46"/>
    </row>
    <row r="7" spans="2:11" x14ac:dyDescent="0.25">
      <c r="B7" s="43" t="s">
        <v>22</v>
      </c>
      <c r="C7" s="43"/>
      <c r="D7" s="43" t="s">
        <v>24</v>
      </c>
      <c r="E7" s="43"/>
      <c r="F7" s="43" t="s">
        <v>26</v>
      </c>
      <c r="G7" s="43"/>
      <c r="H7" s="43" t="s">
        <v>28</v>
      </c>
      <c r="I7" s="43"/>
      <c r="J7" s="43" t="s">
        <v>31</v>
      </c>
      <c r="K7" s="43"/>
    </row>
    <row r="9" spans="2:11" x14ac:dyDescent="0.25">
      <c r="B9" s="38" t="s">
        <v>32</v>
      </c>
      <c r="C9" s="39"/>
      <c r="D9" s="39"/>
      <c r="E9" s="39"/>
      <c r="F9" s="39"/>
      <c r="G9" s="39"/>
      <c r="H9" s="39"/>
      <c r="I9" s="39"/>
      <c r="J9" s="39"/>
      <c r="K9" s="39"/>
    </row>
    <row r="10" spans="2:11" x14ac:dyDescent="0.25">
      <c r="B10" s="40" t="s">
        <v>33</v>
      </c>
      <c r="C10" s="40"/>
      <c r="D10" s="41" t="s">
        <v>34</v>
      </c>
      <c r="E10" s="41"/>
      <c r="F10" s="41" t="s">
        <v>35</v>
      </c>
      <c r="G10" s="41"/>
      <c r="H10" s="41" t="s">
        <v>36</v>
      </c>
      <c r="I10" s="41"/>
      <c r="J10" s="42" t="s">
        <v>37</v>
      </c>
      <c r="K10" s="42"/>
    </row>
    <row r="11" spans="2:11" x14ac:dyDescent="0.25">
      <c r="B11" s="28" t="s">
        <v>38</v>
      </c>
      <c r="C11" s="28"/>
      <c r="D11" s="29">
        <f>det_execucao_orcamentaria!B4</f>
        <v>458000</v>
      </c>
      <c r="E11" s="30"/>
      <c r="F11" s="29">
        <f>det_execucao_orcamentaria!D4</f>
        <v>134250</v>
      </c>
      <c r="G11" s="30"/>
      <c r="H11" s="29">
        <f t="shared" ref="H11:H16" si="0">D11-F11</f>
        <v>323750</v>
      </c>
      <c r="I11" s="30"/>
      <c r="J11" s="31">
        <f t="shared" ref="J11:J16" si="1">IF(D11=0,0,F11/D11)</f>
        <v>0.29312227074235808</v>
      </c>
      <c r="K11" s="32"/>
    </row>
    <row r="12" spans="2:11" x14ac:dyDescent="0.25">
      <c r="B12" s="33" t="s">
        <v>39</v>
      </c>
      <c r="C12" s="33"/>
      <c r="D12" s="34">
        <f>det_execucao_orcamentaria!B5</f>
        <v>0</v>
      </c>
      <c r="E12" s="35"/>
      <c r="F12" s="34">
        <f>det_execucao_orcamentaria!D5</f>
        <v>0</v>
      </c>
      <c r="G12" s="35"/>
      <c r="H12" s="34">
        <f t="shared" si="0"/>
        <v>0</v>
      </c>
      <c r="I12" s="35"/>
      <c r="J12" s="36">
        <f t="shared" si="1"/>
        <v>0</v>
      </c>
      <c r="K12" s="37"/>
    </row>
    <row r="13" spans="2:11" x14ac:dyDescent="0.25">
      <c r="B13" s="28" t="s">
        <v>40</v>
      </c>
      <c r="C13" s="28"/>
      <c r="D13" s="29">
        <f>det_execucao_orcamentaria!B6+det_execucao_orcamentaria!B12</f>
        <v>9837</v>
      </c>
      <c r="E13" s="30"/>
      <c r="F13" s="29">
        <f>-([3]extrato_bancario!$J$15 + [3]extrato_bancario!$J$16)</f>
        <v>257.14999999999998</v>
      </c>
      <c r="G13" s="30"/>
      <c r="H13" s="29">
        <f t="shared" si="0"/>
        <v>9579.85</v>
      </c>
      <c r="I13" s="30"/>
      <c r="J13" s="31">
        <f t="shared" si="1"/>
        <v>2.6141099928840093E-2</v>
      </c>
      <c r="K13" s="32"/>
    </row>
    <row r="14" spans="2:11" x14ac:dyDescent="0.25">
      <c r="B14" s="33" t="s">
        <v>41</v>
      </c>
      <c r="C14" s="33"/>
      <c r="D14" s="34">
        <f>det_execucao_orcamentaria!B11</f>
        <v>5500</v>
      </c>
      <c r="E14" s="35"/>
      <c r="F14" s="34">
        <f>-([3]extrato_bancario!$J$3 + [3]extrato_bancario!$J$4)</f>
        <v>4125</v>
      </c>
      <c r="G14" s="35"/>
      <c r="H14" s="34">
        <f t="shared" si="0"/>
        <v>1375</v>
      </c>
      <c r="I14" s="35"/>
      <c r="J14" s="36">
        <f t="shared" si="1"/>
        <v>0.75</v>
      </c>
      <c r="K14" s="37"/>
    </row>
    <row r="15" spans="2:11" x14ac:dyDescent="0.25">
      <c r="B15" s="28" t="s">
        <v>42</v>
      </c>
      <c r="C15" s="28"/>
      <c r="D15" s="29">
        <f>det_execucao_orcamentaria!B14</f>
        <v>1000</v>
      </c>
      <c r="E15" s="30"/>
      <c r="F15" s="29">
        <f>-SUM([3]extrato_bancario!$J$56:$J$63)</f>
        <v>141.68</v>
      </c>
      <c r="G15" s="30"/>
      <c r="H15" s="29">
        <f t="shared" si="0"/>
        <v>858.31999999999994</v>
      </c>
      <c r="I15" s="30"/>
      <c r="J15" s="31">
        <f t="shared" si="1"/>
        <v>0.14168</v>
      </c>
      <c r="K15" s="32"/>
    </row>
    <row r="16" spans="2:11" x14ac:dyDescent="0.25">
      <c r="B16" s="33" t="s">
        <v>43</v>
      </c>
      <c r="C16" s="33"/>
      <c r="D16" s="34">
        <f>det_execucao_orcamentaria!B9+det_execucao_orcamentaria!B10+det_execucao_orcamentaria!B13</f>
        <v>94663</v>
      </c>
      <c r="E16" s="35"/>
      <c r="F16" s="34">
        <f>det_execucao_orcamentaria!D13</f>
        <v>8400</v>
      </c>
      <c r="G16" s="35"/>
      <c r="H16" s="34">
        <f t="shared" si="0"/>
        <v>86263</v>
      </c>
      <c r="I16" s="35"/>
      <c r="J16" s="36">
        <f t="shared" si="1"/>
        <v>8.8735831317410183E-2</v>
      </c>
      <c r="K16" s="37"/>
    </row>
    <row r="17" spans="2:11" x14ac:dyDescent="0.25">
      <c r="B17" s="21" t="s">
        <v>44</v>
      </c>
      <c r="C17" s="21"/>
      <c r="D17" s="22">
        <f>SUM(D11:D16)</f>
        <v>569000</v>
      </c>
      <c r="E17" s="23"/>
      <c r="F17" s="22">
        <f>SUM(F11:F16)</f>
        <v>147173.82999999999</v>
      </c>
      <c r="G17" s="23"/>
      <c r="H17" s="22">
        <f>SUM(H11:H16)</f>
        <v>421826.17</v>
      </c>
      <c r="I17" s="23"/>
      <c r="J17" s="24">
        <f>F17/D17</f>
        <v>0.25865347978910369</v>
      </c>
      <c r="K17" s="25"/>
    </row>
    <row r="18" spans="2:11" x14ac:dyDescent="0.25">
      <c r="B18" s="26" t="str">
        <f>"* Posicao em 30/09/2026. Aportado: R$ " &amp; TEXT('Slide 3 - Desembolso e Contas'!E14, "#.##0,00") &amp; ". Rendimentos liq.: R$ " &amp; TEXT('Slide 3 - Desembolso e Contas'!J14, "#.##0,00") &amp; ". Saldo em caixa: R$ " &amp; TEXT('Slide 3 - Desembolso e Contas'!J8, "#.##0,00") &amp; ". Tarifas Empresa/EMBRAPII pagas c/ rendimentos."</f>
        <v>* Posicao em 30/09/2026. Aportado: R$ 280.500,00. Rendimentos liq.: R$ 4.722,14. Saldo em caixa: R$ 137.823,81. Tarifas Empresa/EMBRAPII pagas c/ rendimentos.</v>
      </c>
      <c r="C18" s="27"/>
      <c r="D18" s="27"/>
      <c r="E18" s="27"/>
      <c r="F18" s="27"/>
      <c r="G18" s="27"/>
      <c r="H18" s="27"/>
      <c r="I18" s="27"/>
      <c r="J18" s="27"/>
      <c r="K18" s="27"/>
    </row>
  </sheetData>
  <mergeCells count="59">
    <mergeCell ref="B2:K2"/>
    <mergeCell ref="B3:K3"/>
    <mergeCell ref="B5:C5"/>
    <mergeCell ref="B6:C6"/>
    <mergeCell ref="B7:C7"/>
    <mergeCell ref="D5:E5"/>
    <mergeCell ref="D6:E6"/>
    <mergeCell ref="D7:E7"/>
    <mergeCell ref="F5:G5"/>
    <mergeCell ref="F6:G6"/>
    <mergeCell ref="F7:G7"/>
    <mergeCell ref="H5:I5"/>
    <mergeCell ref="H6:I6"/>
    <mergeCell ref="H7:I7"/>
    <mergeCell ref="J5:K5"/>
    <mergeCell ref="J6:K6"/>
    <mergeCell ref="J7:K7"/>
    <mergeCell ref="B9:K9"/>
    <mergeCell ref="B10:C10"/>
    <mergeCell ref="D10:E10"/>
    <mergeCell ref="F10:G10"/>
    <mergeCell ref="H10:I10"/>
    <mergeCell ref="J10:K10"/>
    <mergeCell ref="B12:C12"/>
    <mergeCell ref="D12:E12"/>
    <mergeCell ref="F12:G12"/>
    <mergeCell ref="H12:I12"/>
    <mergeCell ref="J12:K12"/>
    <mergeCell ref="B11:C11"/>
    <mergeCell ref="D11:E11"/>
    <mergeCell ref="F11:G11"/>
    <mergeCell ref="H11:I11"/>
    <mergeCell ref="J11:K11"/>
    <mergeCell ref="B14:C14"/>
    <mergeCell ref="D14:E14"/>
    <mergeCell ref="F14:G14"/>
    <mergeCell ref="H14:I14"/>
    <mergeCell ref="J14:K14"/>
    <mergeCell ref="B13:C13"/>
    <mergeCell ref="D13:E13"/>
    <mergeCell ref="F13:G13"/>
    <mergeCell ref="H13:I13"/>
    <mergeCell ref="J13:K13"/>
    <mergeCell ref="B18:K18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7:C17"/>
    <mergeCell ref="D17:E17"/>
    <mergeCell ref="F17:G17"/>
    <mergeCell ref="H17:I17"/>
    <mergeCell ref="J17:K1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0EF6-1A9B-4057-8076-605BF2226F3E}">
  <dimension ref="B2:K15"/>
  <sheetViews>
    <sheetView showGridLines="0" tabSelected="1" workbookViewId="0"/>
  </sheetViews>
  <sheetFormatPr defaultRowHeight="15" x14ac:dyDescent="0.25"/>
  <cols>
    <col min="1" max="1" width="3.7109375" customWidth="1"/>
    <col min="2" max="2" width="24.7109375" customWidth="1"/>
    <col min="3" max="3" width="16.7109375" customWidth="1"/>
    <col min="4" max="11" width="15.7109375" customWidth="1"/>
  </cols>
  <sheetData>
    <row r="2" spans="2:11" ht="18.75" x14ac:dyDescent="0.35">
      <c r="B2" s="48" t="s">
        <v>45</v>
      </c>
      <c r="C2" s="49"/>
      <c r="D2" s="49"/>
      <c r="E2" s="49"/>
      <c r="F2" s="49"/>
      <c r="G2" s="49"/>
      <c r="H2" s="49"/>
      <c r="I2" s="49"/>
      <c r="J2" s="49"/>
      <c r="K2" s="49"/>
    </row>
    <row r="3" spans="2:11" x14ac:dyDescent="0.25">
      <c r="B3" s="50" t="s">
        <v>94</v>
      </c>
      <c r="C3" s="49"/>
      <c r="D3" s="49"/>
      <c r="E3" s="49"/>
      <c r="F3" s="49"/>
      <c r="G3" s="49"/>
      <c r="H3" s="49"/>
      <c r="I3" s="49"/>
      <c r="J3" s="49"/>
      <c r="K3" s="49"/>
    </row>
    <row r="5" spans="2:11" x14ac:dyDescent="0.25">
      <c r="B5" s="38" t="s">
        <v>46</v>
      </c>
      <c r="C5" s="39"/>
      <c r="D5" s="39"/>
      <c r="E5" s="39"/>
      <c r="F5" s="39"/>
      <c r="H5" s="38" t="s">
        <v>68</v>
      </c>
      <c r="I5" s="39"/>
      <c r="J5" s="39"/>
      <c r="K5" s="39"/>
    </row>
    <row r="6" spans="2:11" x14ac:dyDescent="0.25">
      <c r="B6" s="20" t="s">
        <v>47</v>
      </c>
      <c r="C6" s="20" t="s">
        <v>48</v>
      </c>
      <c r="D6" s="20" t="s">
        <v>49</v>
      </c>
      <c r="E6" s="20" t="s">
        <v>50</v>
      </c>
      <c r="F6" s="20" t="s">
        <v>51</v>
      </c>
      <c r="H6" s="33" t="s">
        <v>69</v>
      </c>
      <c r="I6" s="33"/>
      <c r="J6" s="34">
        <f>'Slide 3 - Desembolso e Contas'!J12</f>
        <v>332.27</v>
      </c>
      <c r="K6" s="35"/>
    </row>
    <row r="7" spans="2:11" x14ac:dyDescent="0.25">
      <c r="B7" s="17" t="s">
        <v>52</v>
      </c>
      <c r="C7" s="17" t="s">
        <v>53</v>
      </c>
      <c r="D7" s="13">
        <f>[3]extrato_bancario!$B$72</f>
        <v>46190</v>
      </c>
      <c r="E7" s="16">
        <f>[3]extrato_bancario!$J$72</f>
        <v>103000</v>
      </c>
      <c r="F7" s="16">
        <f>E7</f>
        <v>103000</v>
      </c>
      <c r="H7" s="33" t="s">
        <v>70</v>
      </c>
      <c r="I7" s="33"/>
      <c r="J7" s="34">
        <v>61440.33</v>
      </c>
      <c r="K7" s="35"/>
    </row>
    <row r="8" spans="2:11" x14ac:dyDescent="0.25">
      <c r="B8" s="19" t="s">
        <v>54</v>
      </c>
      <c r="C8" s="19" t="s">
        <v>55</v>
      </c>
      <c r="D8" s="12">
        <f>[3]extrato_bancario!$B$2</f>
        <v>46204</v>
      </c>
      <c r="E8" s="18">
        <f>[3]extrato_bancario!$J$2</f>
        <v>27500</v>
      </c>
      <c r="F8" s="18">
        <f>F7+E8</f>
        <v>130500</v>
      </c>
      <c r="H8" s="21" t="s">
        <v>71</v>
      </c>
      <c r="I8" s="21"/>
      <c r="J8" s="22">
        <f>SUM([3]extrato_bancario!$J$2:$J$85)</f>
        <v>137823.80999999997</v>
      </c>
      <c r="K8" s="23"/>
    </row>
    <row r="9" spans="2:11" x14ac:dyDescent="0.25">
      <c r="B9" s="17" t="s">
        <v>56</v>
      </c>
      <c r="C9" s="17" t="s">
        <v>57</v>
      </c>
      <c r="D9" s="13">
        <f>[3]extrato_bancario!$B$29</f>
        <v>46211</v>
      </c>
      <c r="E9" s="16">
        <f>[3]extrato_bancario!$J$29</f>
        <v>150000</v>
      </c>
      <c r="F9" s="16">
        <f>F8+E9</f>
        <v>280500</v>
      </c>
    </row>
    <row r="10" spans="2:11" x14ac:dyDescent="0.25">
      <c r="B10" s="19" t="s">
        <v>58</v>
      </c>
      <c r="C10" s="19" t="s">
        <v>59</v>
      </c>
      <c r="D10" s="19" t="s">
        <v>60</v>
      </c>
      <c r="E10" s="18">
        <v>27500</v>
      </c>
      <c r="F10" s="19" t="s">
        <v>61</v>
      </c>
      <c r="H10" s="57" t="s">
        <v>72</v>
      </c>
      <c r="I10" s="39"/>
      <c r="J10" s="39"/>
      <c r="K10" s="39"/>
    </row>
    <row r="11" spans="2:11" x14ac:dyDescent="0.25">
      <c r="B11" s="17" t="s">
        <v>62</v>
      </c>
      <c r="C11" s="17" t="s">
        <v>59</v>
      </c>
      <c r="D11" s="17" t="s">
        <v>60</v>
      </c>
      <c r="E11" s="16">
        <v>103000</v>
      </c>
      <c r="F11" s="17" t="s">
        <v>61</v>
      </c>
      <c r="H11" s="33" t="s">
        <v>73</v>
      </c>
      <c r="I11" s="33"/>
      <c r="J11" s="34">
        <v>4414.24</v>
      </c>
      <c r="K11" s="35"/>
    </row>
    <row r="12" spans="2:11" x14ac:dyDescent="0.25">
      <c r="B12" s="19" t="s">
        <v>63</v>
      </c>
      <c r="C12" s="19" t="s">
        <v>59</v>
      </c>
      <c r="D12" s="19" t="s">
        <v>64</v>
      </c>
      <c r="E12" s="18">
        <v>27500</v>
      </c>
      <c r="F12" s="19" t="s">
        <v>61</v>
      </c>
      <c r="H12" s="33" t="s">
        <v>74</v>
      </c>
      <c r="I12" s="33"/>
      <c r="J12" s="34">
        <v>332.27</v>
      </c>
      <c r="K12" s="35"/>
    </row>
    <row r="13" spans="2:11" x14ac:dyDescent="0.25">
      <c r="B13" s="17" t="s">
        <v>65</v>
      </c>
      <c r="C13" s="17" t="s">
        <v>59</v>
      </c>
      <c r="D13" s="17" t="s">
        <v>66</v>
      </c>
      <c r="E13" s="16">
        <v>103000</v>
      </c>
      <c r="F13" s="17" t="s">
        <v>61</v>
      </c>
      <c r="H13" s="33" t="s">
        <v>75</v>
      </c>
      <c r="I13" s="33"/>
      <c r="J13" s="34">
        <v>24.37</v>
      </c>
      <c r="K13" s="35"/>
    </row>
    <row r="14" spans="2:11" x14ac:dyDescent="0.25">
      <c r="B14" s="21" t="s">
        <v>67</v>
      </c>
      <c r="C14" s="21"/>
      <c r="D14" s="21"/>
      <c r="E14" s="22">
        <f>SUM(E7:E9)</f>
        <v>280500</v>
      </c>
      <c r="F14" s="23"/>
      <c r="H14" s="54" t="s">
        <v>76</v>
      </c>
      <c r="I14" s="54"/>
      <c r="J14" s="55">
        <f>J11+J12-J13</f>
        <v>4722.1400000000003</v>
      </c>
      <c r="K14" s="56"/>
    </row>
    <row r="15" spans="2:11" x14ac:dyDescent="0.25">
      <c r="B15" s="26" t="str">
        <f>"Receitas recebidas: R$ " &amp; TEXT(E14, "#.##0,00") &amp; " (" &amp; TEXT(E14/'Slide 2 - Saude do Projeto'!D17, "0,0%") &amp; " do convenio). Aportes pendentes: R$ " &amp; TEXT('Slide 2 - Saude do Projeto'!D17-E14, "#.##0,00") &amp; "."</f>
        <v>Receitas recebidas: R$ 280.500,00 (49,3% do convenio). Aportes pendentes: R$ 288.500,00.</v>
      </c>
      <c r="C15" s="27"/>
      <c r="D15" s="27"/>
      <c r="E15" s="27"/>
      <c r="F15" s="27"/>
    </row>
  </sheetData>
  <mergeCells count="22">
    <mergeCell ref="H12:I12"/>
    <mergeCell ref="J12:K12"/>
    <mergeCell ref="B2:K2"/>
    <mergeCell ref="B3:K3"/>
    <mergeCell ref="B5:F5"/>
    <mergeCell ref="H5:K5"/>
    <mergeCell ref="H6:I6"/>
    <mergeCell ref="J6:K6"/>
    <mergeCell ref="H7:I7"/>
    <mergeCell ref="J7:K7"/>
    <mergeCell ref="H8:I8"/>
    <mergeCell ref="J8:K8"/>
    <mergeCell ref="H10:K10"/>
    <mergeCell ref="H11:I11"/>
    <mergeCell ref="J11:K11"/>
    <mergeCell ref="H13:I13"/>
    <mergeCell ref="J13:K13"/>
    <mergeCell ref="H14:I14"/>
    <mergeCell ref="J14:K14"/>
    <mergeCell ref="B15:F15"/>
    <mergeCell ref="B14:D14"/>
    <mergeCell ref="E14:F1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C97F-27E4-44E4-B530-E8BA880BF340}">
  <dimension ref="B2:K17"/>
  <sheetViews>
    <sheetView showGridLines="0" workbookViewId="0">
      <selection activeCell="D13" sqref="D13"/>
    </sheetView>
  </sheetViews>
  <sheetFormatPr defaultRowHeight="15" x14ac:dyDescent="0.25"/>
  <cols>
    <col min="1" max="1" width="3.7109375" customWidth="1"/>
    <col min="2" max="2" width="24.7109375" customWidth="1"/>
    <col min="3" max="3" width="16.7109375" customWidth="1"/>
    <col min="4" max="11" width="15.7109375" customWidth="1"/>
  </cols>
  <sheetData>
    <row r="2" spans="2:11" ht="18.75" x14ac:dyDescent="0.35">
      <c r="B2" s="48" t="s">
        <v>77</v>
      </c>
      <c r="C2" s="49"/>
      <c r="D2" s="49"/>
      <c r="E2" s="49"/>
      <c r="F2" s="49"/>
      <c r="G2" s="49"/>
      <c r="H2" s="49"/>
      <c r="I2" s="49"/>
      <c r="J2" s="49"/>
      <c r="K2" s="49"/>
    </row>
    <row r="3" spans="2:11" x14ac:dyDescent="0.25">
      <c r="B3" s="50" t="s">
        <v>95</v>
      </c>
      <c r="C3" s="49"/>
      <c r="D3" s="49"/>
      <c r="E3" s="49"/>
      <c r="F3" s="49"/>
      <c r="G3" s="49"/>
      <c r="H3" s="49"/>
      <c r="I3" s="49"/>
      <c r="J3" s="49"/>
      <c r="K3" s="49"/>
    </row>
    <row r="5" spans="2:11" x14ac:dyDescent="0.25">
      <c r="B5" s="38" t="s">
        <v>78</v>
      </c>
      <c r="C5" s="39"/>
      <c r="D5" s="39"/>
      <c r="E5" s="39"/>
      <c r="G5" s="61" t="s">
        <v>84</v>
      </c>
      <c r="H5" s="62"/>
      <c r="I5" s="62"/>
      <c r="J5" s="62"/>
      <c r="K5" s="62"/>
    </row>
    <row r="6" spans="2:11" ht="26.25" x14ac:dyDescent="0.45">
      <c r="B6" s="40" t="s">
        <v>33</v>
      </c>
      <c r="C6" s="67"/>
      <c r="D6" s="67"/>
      <c r="E6" s="20" t="s">
        <v>79</v>
      </c>
      <c r="G6" s="63">
        <f>'Slide 2 - Saude do Projeto'!J17</f>
        <v>0.25865347978910369</v>
      </c>
      <c r="H6" s="62"/>
      <c r="I6" s="62"/>
      <c r="J6" s="62"/>
      <c r="K6" s="62"/>
    </row>
    <row r="7" spans="2:11" x14ac:dyDescent="0.25">
      <c r="B7" s="28" t="s">
        <v>80</v>
      </c>
      <c r="C7" s="28"/>
      <c r="D7" s="28"/>
      <c r="E7" s="15">
        <f>'Slide 2 - Saude do Projeto'!J11</f>
        <v>0.29312227074235808</v>
      </c>
      <c r="G7" s="64" t="str">
        <f>"R$ " &amp; TEXT('Slide 2 - Saude do Projeto'!F17, "#.##0,00") &amp; " executados de R$ " &amp; TEXT('Slide 2 - Saude do Projeto'!D17, "#.##0,00") &amp; " do orcamento total"</f>
        <v>R$ 147.173,83 executados de R$ 569.000,00 do orcamento total</v>
      </c>
      <c r="H7" s="62"/>
      <c r="I7" s="62"/>
      <c r="J7" s="62"/>
      <c r="K7" s="62"/>
    </row>
    <row r="8" spans="2:11" x14ac:dyDescent="0.25">
      <c r="B8" s="33" t="s">
        <v>39</v>
      </c>
      <c r="C8" s="33"/>
      <c r="D8" s="33"/>
      <c r="E8" s="14">
        <f>'Slide 2 - Saude do Projeto'!J12</f>
        <v>0</v>
      </c>
    </row>
    <row r="9" spans="2:11" x14ac:dyDescent="0.25">
      <c r="B9" s="28" t="s">
        <v>41</v>
      </c>
      <c r="C9" s="28"/>
      <c r="D9" s="28"/>
      <c r="E9" s="15">
        <f>'Slide 2 - Saude do Projeto'!J14</f>
        <v>0.75</v>
      </c>
      <c r="G9" s="65" t="s">
        <v>85</v>
      </c>
      <c r="H9" s="62"/>
      <c r="I9" s="62"/>
      <c r="J9" s="62"/>
      <c r="K9" s="62"/>
    </row>
    <row r="10" spans="2:11" ht="26.25" x14ac:dyDescent="0.45">
      <c r="B10" s="33" t="s">
        <v>81</v>
      </c>
      <c r="C10" s="33"/>
      <c r="D10" s="33"/>
      <c r="E10" s="14">
        <f>'Slide 2 - Saude do Projeto'!J15</f>
        <v>0.14168</v>
      </c>
      <c r="G10" s="66">
        <f>'Slide 2 - Saude do Projeto'!B6</f>
        <v>137823.80999999997</v>
      </c>
      <c r="H10" s="62"/>
      <c r="I10" s="62"/>
      <c r="J10" s="62"/>
      <c r="K10" s="62"/>
    </row>
    <row r="11" spans="2:11" x14ac:dyDescent="0.25">
      <c r="B11" s="28" t="s">
        <v>82</v>
      </c>
      <c r="C11" s="28"/>
      <c r="D11" s="28"/>
      <c r="E11" s="15">
        <f>'Slide 2 - Saude do Projeto'!J13</f>
        <v>2.6141099928840093E-2</v>
      </c>
      <c r="G11" s="64" t="s">
        <v>86</v>
      </c>
      <c r="H11" s="62"/>
      <c r="I11" s="62"/>
      <c r="J11" s="62"/>
      <c r="K11" s="62"/>
    </row>
    <row r="12" spans="2:11" x14ac:dyDescent="0.25">
      <c r="B12" s="33" t="s">
        <v>83</v>
      </c>
      <c r="C12" s="33"/>
      <c r="D12" s="33"/>
      <c r="E12" s="14">
        <f>'Slide 2 - Saude do Projeto'!J16</f>
        <v>8.8735831317410183E-2</v>
      </c>
    </row>
    <row r="13" spans="2:11" x14ac:dyDescent="0.25">
      <c r="G13" s="58" t="s">
        <v>87</v>
      </c>
      <c r="H13" s="39"/>
      <c r="I13" s="39"/>
      <c r="J13" s="39"/>
      <c r="K13" s="39"/>
    </row>
    <row r="14" spans="2:11" ht="26.1" customHeight="1" x14ac:dyDescent="0.25">
      <c r="G14" s="59" t="s">
        <v>88</v>
      </c>
      <c r="H14" s="60"/>
      <c r="I14" s="60"/>
      <c r="J14" s="60"/>
      <c r="K14" s="60"/>
    </row>
    <row r="15" spans="2:11" ht="26.1" customHeight="1" x14ac:dyDescent="0.25">
      <c r="G15" s="59" t="s">
        <v>89</v>
      </c>
      <c r="H15" s="60"/>
      <c r="I15" s="60"/>
      <c r="J15" s="60"/>
      <c r="K15" s="60"/>
    </row>
    <row r="16" spans="2:11" ht="26.1" customHeight="1" x14ac:dyDescent="0.25">
      <c r="G16" s="59" t="s">
        <v>90</v>
      </c>
      <c r="H16" s="60"/>
      <c r="I16" s="60"/>
      <c r="J16" s="60"/>
      <c r="K16" s="60"/>
    </row>
    <row r="17" spans="7:11" ht="26.1" customHeight="1" x14ac:dyDescent="0.25">
      <c r="G17" s="59" t="s">
        <v>91</v>
      </c>
      <c r="H17" s="60"/>
      <c r="I17" s="60"/>
      <c r="J17" s="60"/>
      <c r="K17" s="60"/>
    </row>
  </sheetData>
  <mergeCells count="21">
    <mergeCell ref="B2:K2"/>
    <mergeCell ref="B3:K3"/>
    <mergeCell ref="B5:E5"/>
    <mergeCell ref="B6:D6"/>
    <mergeCell ref="B7:D7"/>
    <mergeCell ref="B9:D9"/>
    <mergeCell ref="B10:D10"/>
    <mergeCell ref="B11:D11"/>
    <mergeCell ref="B12:D12"/>
    <mergeCell ref="G5:K5"/>
    <mergeCell ref="G6:K6"/>
    <mergeCell ref="G7:K7"/>
    <mergeCell ref="G9:K9"/>
    <mergeCell ref="G10:K10"/>
    <mergeCell ref="G11:K11"/>
    <mergeCell ref="B8:D8"/>
    <mergeCell ref="G13:K13"/>
    <mergeCell ref="G14:K14"/>
    <mergeCell ref="G15:K15"/>
    <mergeCell ref="G16:K16"/>
    <mergeCell ref="G17:K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det_execucao_orcamentaria</vt:lpstr>
      <vt:lpstr>Slide 2 - Saude do Projeto</vt:lpstr>
      <vt:lpstr>Slide 3 - Desembolso e Contas</vt:lpstr>
      <vt:lpstr>Slide 4 - Analise e Atencao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INOVA</dc:creator>
  <cp:lastModifiedBy>Geziel Sena Colares</cp:lastModifiedBy>
  <dcterms:created xsi:type="dcterms:W3CDTF">2015-06-05T18:19:34Z</dcterms:created>
  <dcterms:modified xsi:type="dcterms:W3CDTF">2026-10-07T02:02:48Z</dcterms:modified>
</cp:coreProperties>
</file>