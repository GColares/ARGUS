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Projetos\ARGUS\gestao_projetos\execucao_financeira\"/>
    </mc:Choice>
  </mc:AlternateContent>
  <xr:revisionPtr revIDLastSave="0" documentId="13_ncr:1_{56829A7D-7DDB-43F8-8DC7-FC24E4C2FC67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det_execucao_orcamentaria" sheetId="1" r:id="rId1"/>
    <sheet name="Slide 2 - Saude do Projeto" sheetId="2" r:id="rId2"/>
    <sheet name="Slide 3 - Desembolso e Contas" sheetId="3" r:id="rId3"/>
    <sheet name="Slide 4 - Analise e Atencao" sheetId="4" r:id="rId4"/>
  </sheets>
  <externalReferences>
    <externalReference r:id="rId5"/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4" i="1" l="1"/>
  <c r="D13" i="1"/>
  <c r="B13" i="1"/>
  <c r="D5" i="1"/>
  <c r="B5" i="1"/>
  <c r="F13" i="1" l="1"/>
  <c r="F8" i="1"/>
  <c r="E13" i="1"/>
  <c r="D12" i="1"/>
  <c r="D11" i="1"/>
  <c r="F11" i="1" s="1"/>
  <c r="D10" i="1"/>
  <c r="D9" i="1"/>
  <c r="D7" i="1"/>
  <c r="D6" i="1"/>
  <c r="D4" i="1"/>
  <c r="D3" i="1"/>
  <c r="D2" i="1"/>
  <c r="D8" i="1"/>
  <c r="F5" i="1" l="1"/>
  <c r="D15" i="1"/>
  <c r="B14" i="1"/>
  <c r="F14" i="1" s="1"/>
  <c r="B12" i="1"/>
  <c r="F12" i="1" s="1"/>
  <c r="B10" i="1"/>
  <c r="F10" i="1" s="1"/>
  <c r="B9" i="1"/>
  <c r="F9" i="1" s="1"/>
  <c r="B7" i="1"/>
  <c r="F7" i="1" s="1"/>
  <c r="B6" i="1"/>
  <c r="B4" i="1"/>
  <c r="B3" i="1"/>
  <c r="F3" i="1" s="1"/>
  <c r="B2" i="1"/>
  <c r="F2" i="1" s="1"/>
  <c r="E11" i="1"/>
  <c r="E3" i="1"/>
  <c r="E14" i="1" l="1"/>
  <c r="E10" i="1"/>
  <c r="E12" i="1"/>
  <c r="B15" i="1"/>
  <c r="E5" i="1"/>
  <c r="E6" i="1"/>
  <c r="F6" i="1"/>
  <c r="E9" i="1"/>
  <c r="E4" i="1"/>
  <c r="F4" i="1"/>
  <c r="E7" i="1"/>
  <c r="E8" i="1"/>
  <c r="E2" i="1"/>
  <c r="G12" i="1" l="1"/>
  <c r="G13" i="1"/>
  <c r="G14" i="1"/>
  <c r="G9" i="1"/>
  <c r="G10" i="1"/>
  <c r="G3" i="1"/>
  <c r="G4" i="1"/>
  <c r="G5" i="1"/>
  <c r="G6" i="1"/>
  <c r="G11" i="1"/>
  <c r="G7" i="1"/>
  <c r="G2" i="1"/>
  <c r="E15" i="1"/>
  <c r="G15" i="1" l="1"/>
</calcChain>
</file>

<file path=xl/sharedStrings.xml><?xml version="1.0" encoding="utf-8"?>
<sst xmlns="http://schemas.openxmlformats.org/spreadsheetml/2006/main" count="116" uniqueCount="105">
  <si>
    <t>Rubrica</t>
  </si>
  <si>
    <t>Previsto</t>
  </si>
  <si>
    <t>Executado</t>
  </si>
  <si>
    <t>Disponível</t>
  </si>
  <si>
    <t>I - Programa de Computador e Equipamento</t>
  </si>
  <si>
    <t>III - RH Direto</t>
  </si>
  <si>
    <t>III - RH Indireto</t>
  </si>
  <si>
    <t>VI - Outros Dispêndios Correlatos</t>
  </si>
  <si>
    <t>II - Modernização de Infraestrutura</t>
  </si>
  <si>
    <t>IV - Serviços Técnicos de Terceiros</t>
  </si>
  <si>
    <t>V - Materiais de Consumo (Protótipo)</t>
  </si>
  <si>
    <t>ISS</t>
  </si>
  <si>
    <t>Outros Correlatos (Computação em Nuvem)</t>
  </si>
  <si>
    <t>Despesas de Suporte Operacional</t>
  </si>
  <si>
    <t>DOA (FAEPI)</t>
  </si>
  <si>
    <t>Fundo de Reserva (IFAM)</t>
  </si>
  <si>
    <t>Tarifas Bancárias</t>
  </si>
  <si>
    <t>Total</t>
  </si>
  <si>
    <t>%execucao_geral</t>
  </si>
  <si>
    <t>%execucao_item</t>
  </si>
  <si>
    <t>%Previsto</t>
  </si>
  <si>
    <t>POLO DE INOVACAO MANAUS - CONVENIO N 002/2026 (BIO CAROCO)</t>
  </si>
  <si>
    <t>Dashboard de Saude do Projeto - Posicao Fechada em Setembro/2026 (Pronto para Copiar e Colar no Slide 2)</t>
  </si>
  <si>
    <t>SALDO DISPONIVEL</t>
  </si>
  <si>
    <t>R$ 137.823,81</t>
  </si>
  <si>
    <t>Fechamento em 30/09/2026</t>
  </si>
  <si>
    <t>RECEITAS RECEBIDAS</t>
  </si>
  <si>
    <t>R$ 280.500,00</t>
  </si>
  <si>
    <t>Aportes acumulados em conta</t>
  </si>
  <si>
    <t>TOTAL EXECUTADO</t>
  </si>
  <si>
    <t>R$ 147.398,33</t>
  </si>
  <si>
    <t>Execucao financeira total</t>
  </si>
  <si>
    <t>RENDIMENTO FINANC.</t>
  </si>
  <si>
    <t>R$ 4.722,14</t>
  </si>
  <si>
    <t>Rendimento liquido aplicacao</t>
  </si>
  <si>
    <t>SPRINTS ACOMP.</t>
  </si>
  <si>
    <t>Sprints 14 e 15</t>
  </si>
  <si>
    <t>Ciclo operacional ativo</t>
  </si>
  <si>
    <t>EXECUCAO ORCAMENTARIA POR RUBRICA - ORCAMENTO * EXECUTADO * DISPONIVEL</t>
  </si>
  <si>
    <t>Rubrica Orcamentaria</t>
  </si>
  <si>
    <t>Orcamento (R$)</t>
  </si>
  <si>
    <t>Executado (R$)</t>
  </si>
  <si>
    <t>Disponivel (R$)</t>
  </si>
  <si>
    <t>Exec. %</t>
  </si>
  <si>
    <t>Recursos Humanos - Bolsas P&amp;D</t>
  </si>
  <si>
    <t>Recursos Humanos Indiretos</t>
  </si>
  <si>
    <t>Servicos de Terceiros PJ (Rateio Internet)</t>
  </si>
  <si>
    <t>Tributos / ISS FAEPI</t>
  </si>
  <si>
    <t>Tarifas Bancarias (Conta SEBRAE)</t>
  </si>
  <si>
    <t>Despesa de Suporte Operacional (DOA)</t>
  </si>
  <si>
    <t>TOTAL DO PROJETO</t>
  </si>
  <si>
    <t>* Posicao em 30/09/2026. Aportado: R$ 280.500,00. Rendimentos liq.: R$ 4.722,14. Saldo em caixa: R$ 137.823,81. Tarifas Empresa/EMBRAPII (R$ 224,50) pagas c/ rendimentos.</t>
  </si>
  <si>
    <t>CONV. 002/2026 - DESEMBOLSO E EXECUCAO ORCAMENTARIA (SETEMBRO/2026)</t>
  </si>
  <si>
    <t>Contas Bancarias: 15334-6 (Empresa), 15335-4 (SEBRAE), 15338-9 (EMBRAPII) - Pronto para Copiar e Colar no Slide 3</t>
  </si>
  <si>
    <t>PARCELAS RECEBIDAS (ENTRADAS DE RECEITA)</t>
  </si>
  <si>
    <t>Parcela</t>
  </si>
  <si>
    <t>No Doc.</t>
  </si>
  <si>
    <t>Data Pagto</t>
  </si>
  <si>
    <t>Valor (R$)</t>
  </si>
  <si>
    <t>Acumulado (R$)</t>
  </si>
  <si>
    <t>01/03 EMB</t>
  </si>
  <si>
    <t>Ordem Banc.</t>
  </si>
  <si>
    <t>17/06/2026</t>
  </si>
  <si>
    <t>01/04 Emp</t>
  </si>
  <si>
    <t>NFSe 106</t>
  </si>
  <si>
    <t>Unica SEB</t>
  </si>
  <si>
    <t>Aporte Unico</t>
  </si>
  <si>
    <t>02/04 Emp</t>
  </si>
  <si>
    <t>-</t>
  </si>
  <si>
    <t>Prev. Out/26</t>
  </si>
  <si>
    <t>pendente</t>
  </si>
  <si>
    <t>02/03 EMB</t>
  </si>
  <si>
    <t>03/04 Emp</t>
  </si>
  <si>
    <t>Prev. Dez/26</t>
  </si>
  <si>
    <t>03/03 EMB</t>
  </si>
  <si>
    <t>Prev. Jan/27</t>
  </si>
  <si>
    <t>TOTAL RECEBIDO</t>
  </si>
  <si>
    <t>Receitas recebidas: R$ 280.500,00 (49,3% do convenio). Aportes pendentes: R$ 288.500,00.</t>
  </si>
  <si>
    <t>RESUMO FINANCEIRO CONSOLIDADO</t>
  </si>
  <si>
    <t>Creditos de setembro (Rend. Bruto)</t>
  </si>
  <si>
    <t>Debitos de setembro (Pagamentos)</t>
  </si>
  <si>
    <t>Saldo Financeiro em 30/09</t>
  </si>
  <si>
    <t>RENDIMENTOS DE APLICACAO FINANCEIRA</t>
  </si>
  <si>
    <t>Saldo inicial acumulado (Ago)</t>
  </si>
  <si>
    <t>Setembro/2026 - bruto</t>
  </si>
  <si>
    <t>Setembro/2026 - IRRF retido</t>
  </si>
  <si>
    <t>Acumulado Liquido (30/09)</t>
  </si>
  <si>
    <t>CONV. 002/2026 - ANALISE DE EXECUCAO E PONTOS DE ATENCAO (SETEMBRO/2026)</t>
  </si>
  <si>
    <t>Percentuais de Execucao por Rubrica e Destaques Gerenciais - Pronto para Copiar e Colar no Slide 4</t>
  </si>
  <si>
    <t>% DE EXECUCAO POR RUBRICA ORCAMENTARIA</t>
  </si>
  <si>
    <t>% Exec.</t>
  </si>
  <si>
    <t>Recursos Humanos Diretos (Bolsas)</t>
  </si>
  <si>
    <t>Tarifas Bancarias (SEBRAE)</t>
  </si>
  <si>
    <t>Servicos Terceiros PJ (Rateio)</t>
  </si>
  <si>
    <t>Despesa Suporte Operacional (DOA)</t>
  </si>
  <si>
    <t>EXECUCAO ACUMULADA GERAL</t>
  </si>
  <si>
    <t>25,9%</t>
  </si>
  <si>
    <t>R$ 147.398,33 executados de R$ 568.100,00 do orcamento total</t>
  </si>
  <si>
    <t>SALDO FINANCEIRO DISPONIVEL</t>
  </si>
  <si>
    <t>Disponibilidade imediata em 30/09/2026 (3 contas)</t>
  </si>
  <si>
    <t>PONTOS DE ATENCAO - SETEMBRO/2026</t>
  </si>
  <si>
    <t>- Integralizacao SEBRAE: Aporte 100% integralizado em conta unica (R$ 150.000,00), garantindo liquidez continua.</t>
  </si>
  <si>
    <t>- Regularidade de Bolsas: 100% das bolsas do 1o trimestre quitadas e conciliadas com a FAEPI (34 ordens bancarias).</t>
  </si>
  <si>
    <t>- Proximos Aportes: Empresa Parcela 02/04 (R$ 27,5k) e EMBRAPII Parcela 02/03 (R$ 103k) previstas p/ o 4o mes.</t>
  </si>
  <si>
    <t>- Despesas Operacionais: Auxiliar Administrativo alocado em DSO (R$ 8,4k executados / 11,6%). Tarifas SEBRAE com R$ 858,32 de saldo.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</si>
</sst>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&quot;R$&quot;\ #,##0.00"/>
    <numFmt numFmtId="165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1E3A8A"/>
      <name val="Segoe UI"/>
      <family val="2"/>
    </font>
    <font>
      <i/>
      <sz val="10"/>
      <color rgb="FF475569"/>
      <name val="Segoe UI"/>
      <family val="2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FFFFFF"/>
      <name val="Segoe UI"/>
      <family val="2"/>
    </font>
    <font>
      <b/>
      <sz val="15"/>
      <color rgb="FF0F172A"/>
      <name val="Segoe UI"/>
      <family val="2"/>
    </font>
    <font>
      <i/>
      <sz val="8"/>
      <color rgb="FF64748B"/>
      <name val="Segoe UI"/>
      <family val="2"/>
    </font>
    <font>
      <b/>
      <sz val="10"/>
      <color rgb="FFFFFFFF"/>
      <name val="Segoe UI"/>
      <family val="2"/>
    </font>
    <font>
      <b/>
      <sz val="18"/>
      <color rgb="FF1E3A8A"/>
      <name val="Segoe UI"/>
      <family val="2"/>
    </font>
    <font>
      <i/>
      <sz val="8"/>
      <color rgb="FF475569"/>
      <name val="Segoe UI"/>
      <family val="2"/>
    </font>
    <font>
      <b/>
      <sz val="18"/>
      <color rgb="FF059669"/>
      <name val="Segoe UI"/>
      <family val="2"/>
    </font>
    <font>
      <sz val="8.5"/>
      <color rgb="FF0F172A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0284C7"/>
        <bgColor indexed="64"/>
      </patternFill>
    </fill>
    <fill>
      <patternFill patternType="solid">
        <fgColor rgb="FF059669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D1FAE5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FFFBEB"/>
        <bgColor indexed="64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left" vertical="center" indent="1"/>
    </xf>
    <xf numFmtId="0" fontId="2" fillId="0" borderId="0" xfId="0" applyFont="1" applyAlignment="1">
      <alignment horizontal="left" vertical="center" indent="2"/>
    </xf>
    <xf numFmtId="0" fontId="0" fillId="0" borderId="0" xfId="0" applyAlignment="1">
      <alignment horizontal="left" vertical="center" indent="4"/>
    </xf>
    <xf numFmtId="44" fontId="0" fillId="0" borderId="0" xfId="1" applyFon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9" fontId="0" fillId="0" borderId="0" xfId="1" applyNumberFormat="1" applyFont="1" applyAlignment="1">
      <alignment horizontal="center" vertical="center"/>
    </xf>
    <xf numFmtId="0" fontId="0" fillId="0" borderId="0" xfId="0"/>
    <xf numFmtId="0" fontId="3" fillId="0" borderId="0" xfId="0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7" fillId="8" borderId="1" xfId="0" applyFont="1" applyFill="1" applyBorder="1" applyAlignment="1">
      <alignment horizontal="left"/>
    </xf>
    <xf numFmtId="0" fontId="7" fillId="8" borderId="1" xfId="0" applyFont="1" applyFill="1" applyBorder="1" applyAlignment="1">
      <alignment horizontal="right"/>
    </xf>
    <xf numFmtId="0" fontId="7" fillId="8" borderId="1" xfId="0" applyFont="1" applyFill="1" applyBorder="1" applyAlignment="1">
      <alignment horizontal="center"/>
    </xf>
    <xf numFmtId="0" fontId="0" fillId="0" borderId="2" xfId="0" applyBorder="1"/>
    <xf numFmtId="0" fontId="5" fillId="0" borderId="1" xfId="0" applyFont="1" applyFill="1" applyBorder="1" applyAlignment="1">
      <alignment horizontal="left"/>
    </xf>
    <xf numFmtId="164" fontId="5" fillId="0" borderId="1" xfId="0" applyNumberFormat="1" applyFont="1" applyFill="1" applyBorder="1" applyAlignment="1">
      <alignment horizontal="right"/>
    </xf>
    <xf numFmtId="0" fontId="5" fillId="0" borderId="1" xfId="0" applyFont="1" applyFill="1" applyBorder="1" applyAlignment="1">
      <alignment horizontal="right"/>
    </xf>
    <xf numFmtId="165" fontId="5" fillId="0" borderId="1" xfId="0" applyNumberFormat="1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left"/>
    </xf>
    <xf numFmtId="164" fontId="5" fillId="9" borderId="1" xfId="0" applyNumberFormat="1" applyFont="1" applyFill="1" applyBorder="1" applyAlignment="1">
      <alignment horizontal="right"/>
    </xf>
    <xf numFmtId="0" fontId="5" fillId="9" borderId="1" xfId="0" applyFont="1" applyFill="1" applyBorder="1" applyAlignment="1">
      <alignment horizontal="right"/>
    </xf>
    <xf numFmtId="165" fontId="5" fillId="9" borderId="1" xfId="0" applyNumberFormat="1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left"/>
    </xf>
    <xf numFmtId="164" fontId="6" fillId="10" borderId="1" xfId="0" applyNumberFormat="1" applyFont="1" applyFill="1" applyBorder="1" applyAlignment="1">
      <alignment horizontal="right"/>
    </xf>
    <xf numFmtId="0" fontId="6" fillId="10" borderId="1" xfId="0" applyFont="1" applyFill="1" applyBorder="1" applyAlignment="1">
      <alignment horizontal="right"/>
    </xf>
    <xf numFmtId="165" fontId="6" fillId="10" borderId="1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9" fillId="0" borderId="2" xfId="0" applyFont="1" applyBorder="1"/>
    <xf numFmtId="0" fontId="7" fillId="8" borderId="1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/>
    </xf>
    <xf numFmtId="164" fontId="5" fillId="0" borderId="1" xfId="0" applyNumberFormat="1" applyFont="1" applyFill="1" applyBorder="1" applyAlignment="1">
      <alignment horizontal="right"/>
    </xf>
    <xf numFmtId="0" fontId="5" fillId="9" borderId="1" xfId="0" applyFont="1" applyFill="1" applyBorder="1" applyAlignment="1">
      <alignment horizontal="center"/>
    </xf>
    <xf numFmtId="164" fontId="5" fillId="9" borderId="1" xfId="0" applyNumberFormat="1" applyFont="1" applyFill="1" applyBorder="1" applyAlignment="1">
      <alignment horizontal="right"/>
    </xf>
    <xf numFmtId="14" fontId="5" fillId="0" borderId="1" xfId="0" applyNumberFormat="1" applyFont="1" applyFill="1" applyBorder="1" applyAlignment="1">
      <alignment horizontal="center"/>
    </xf>
    <xf numFmtId="14" fontId="5" fillId="9" borderId="1" xfId="0" applyNumberFormat="1" applyFont="1" applyFill="1" applyBorder="1" applyAlignment="1">
      <alignment horizontal="center"/>
    </xf>
    <xf numFmtId="0" fontId="10" fillId="6" borderId="0" xfId="0" applyFont="1" applyFill="1" applyAlignment="1">
      <alignment horizontal="center"/>
    </xf>
    <xf numFmtId="0" fontId="6" fillId="11" borderId="1" xfId="0" applyFont="1" applyFill="1" applyBorder="1" applyAlignment="1">
      <alignment horizontal="left"/>
    </xf>
    <xf numFmtId="164" fontId="6" fillId="11" borderId="1" xfId="0" applyNumberFormat="1" applyFont="1" applyFill="1" applyBorder="1" applyAlignment="1">
      <alignment horizontal="right"/>
    </xf>
    <xf numFmtId="0" fontId="6" fillId="11" borderId="1" xfId="0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165" fontId="6" fillId="0" borderId="1" xfId="0" applyNumberFormat="1" applyFont="1" applyFill="1" applyBorder="1" applyAlignment="1">
      <alignment horizontal="center"/>
    </xf>
    <xf numFmtId="165" fontId="6" fillId="9" borderId="1" xfId="0" applyNumberFormat="1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0" fontId="7" fillId="12" borderId="0" xfId="0" applyFont="1" applyFill="1" applyAlignment="1">
      <alignment horizontal="center"/>
    </xf>
    <xf numFmtId="0" fontId="14" fillId="13" borderId="1" xfId="0" applyFont="1" applyFill="1" applyBorder="1" applyAlignment="1">
      <alignment wrapText="1"/>
    </xf>
    <xf numFmtId="0" fontId="0" fillId="0" borderId="1" xfId="0" applyBorder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16"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2" justifyLastLine="0" shrinkToFit="0" readingOrder="0"/>
    </dxf>
    <dxf>
      <alignment horizontal="left" vertical="center" textRotation="0" wrapText="0" indent="2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%</a:t>
            </a:r>
            <a:r>
              <a:rPr lang="pt-BR" baseline="0"/>
              <a:t> Execução por Rubrica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det_execucao_orcamentaria!$C$1</c:f>
              <c:strCache>
                <c:ptCount val="1"/>
                <c:pt idx="0">
                  <c:v>%Previsto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(det_execucao_orcamentaria!$A$2:$A$7,det_execucao_orcamentaria!$A$9:$A$14)</c:f>
              <c:strCache>
                <c:ptCount val="12"/>
                <c:pt idx="0">
                  <c:v>I - Programa de Computador e Equipamento</c:v>
                </c:pt>
                <c:pt idx="1">
                  <c:v>II - Modernização de Infraestrutura</c:v>
                </c:pt>
                <c:pt idx="2">
                  <c:v>III - RH Direto</c:v>
                </c:pt>
                <c:pt idx="3">
                  <c:v>III - RH Indireto</c:v>
                </c:pt>
                <c:pt idx="4">
                  <c:v>IV - Serviços Técnicos de Terceiros</c:v>
                </c:pt>
                <c:pt idx="5">
                  <c:v>V - Materiais de Consumo (Protótipo)</c:v>
                </c:pt>
                <c:pt idx="6">
                  <c:v>DOA (FAEPI)</c:v>
                </c:pt>
                <c:pt idx="7">
                  <c:v>Fundo de Reserva (IFAM)</c:v>
                </c:pt>
                <c:pt idx="8">
                  <c:v>ISS</c:v>
                </c:pt>
                <c:pt idx="9">
                  <c:v>Outros Correlatos (Computação em Nuvem)</c:v>
                </c:pt>
                <c:pt idx="10">
                  <c:v>Despesas de Suporte Operacional</c:v>
                </c:pt>
                <c:pt idx="11">
                  <c:v>Tarifas Bancárias</c:v>
                </c:pt>
              </c:strCache>
            </c:strRef>
          </c:cat>
          <c:val>
            <c:numRef>
              <c:f>(det_execucao_orcamentaria!$C$2:$C$7,det_execucao_orcamentaria!$C$9:$C$14)</c:f>
              <c:numCache>
                <c:formatCode>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97-4573-B953-7B60E575282C}"/>
            </c:ext>
          </c:extLst>
        </c:ser>
        <c:ser>
          <c:idx val="2"/>
          <c:order val="1"/>
          <c:tx>
            <c:strRef>
              <c:f>det_execucao_orcamentaria!$F$1</c:f>
              <c:strCache>
                <c:ptCount val="1"/>
                <c:pt idx="0">
                  <c:v>%execucao_item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(det_execucao_orcamentaria!$A$2:$A$7,det_execucao_orcamentaria!$A$9:$A$14)</c:f>
              <c:strCache>
                <c:ptCount val="12"/>
                <c:pt idx="0">
                  <c:v>I - Programa de Computador e Equipamento</c:v>
                </c:pt>
                <c:pt idx="1">
                  <c:v>II - Modernização de Infraestrutura</c:v>
                </c:pt>
                <c:pt idx="2">
                  <c:v>III - RH Direto</c:v>
                </c:pt>
                <c:pt idx="3">
                  <c:v>III - RH Indireto</c:v>
                </c:pt>
                <c:pt idx="4">
                  <c:v>IV - Serviços Técnicos de Terceiros</c:v>
                </c:pt>
                <c:pt idx="5">
                  <c:v>V - Materiais de Consumo (Protótipo)</c:v>
                </c:pt>
                <c:pt idx="6">
                  <c:v>DOA (FAEPI)</c:v>
                </c:pt>
                <c:pt idx="7">
                  <c:v>Fundo de Reserva (IFAM)</c:v>
                </c:pt>
                <c:pt idx="8">
                  <c:v>ISS</c:v>
                </c:pt>
                <c:pt idx="9">
                  <c:v>Outros Correlatos (Computação em Nuvem)</c:v>
                </c:pt>
                <c:pt idx="10">
                  <c:v>Despesas de Suporte Operacional</c:v>
                </c:pt>
                <c:pt idx="11">
                  <c:v>Tarifas Bancárias</c:v>
                </c:pt>
              </c:strCache>
            </c:strRef>
          </c:cat>
          <c:val>
            <c:numRef>
              <c:f>(det_execucao_orcamentaria!$F$2:$F$7,det_execucao_orcamentaria!$F$9:$F$14)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0.29312227074235808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25.936363636363637</c:v>
                </c:pt>
                <c:pt idx="9">
                  <c:v>0</c:v>
                </c:pt>
                <c:pt idx="10">
                  <c:v>0.375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97-4573-B953-7B60E57528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902912"/>
        <c:axId val="1467891872"/>
      </c:radarChart>
      <c:catAx>
        <c:axId val="1467902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67891872"/>
        <c:crosses val="autoZero"/>
        <c:auto val="1"/>
        <c:lblAlgn val="ctr"/>
        <c:lblOffset val="100"/>
        <c:noMultiLvlLbl val="0"/>
      </c:catAx>
      <c:valAx>
        <c:axId val="146789187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1467902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537881</xdr:colOff>
      <xdr:row>2</xdr:row>
      <xdr:rowOff>112058</xdr:rowOff>
    </xdr:from>
    <xdr:to>
      <xdr:col>12</xdr:col>
      <xdr:colOff>1064558</xdr:colOff>
      <xdr:row>32</xdr:row>
      <xdr:rowOff>22412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5A16056-B373-AB54-64D4-B13CC294F9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ARGUS\gestao_projetos\execucao_financeira\execucao_orcamentaria.xlsx" TargetMode="External"/><Relationship Id="rId1" Type="http://schemas.openxmlformats.org/officeDocument/2006/relationships/externalLinkPath" Target="execucao_orcamentari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ARGUS\gestao_projetos\execucao_financeira\DISPE&#770;NDIOS%20-%20CV_002-2026%20-%20BIO%20CAROCO%202026.xlsx" TargetMode="External"/><Relationship Id="rId1" Type="http://schemas.openxmlformats.org/officeDocument/2006/relationships/externalLinkPath" Target="DISPE&#770;NDIOS%20-%20CV_002-2026%20-%20BIO%20CAROC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camento_empresa"/>
      <sheetName val="orcamento_embrabii"/>
      <sheetName val="orcamento_sebrae"/>
      <sheetName val="orcamento_biocaroco"/>
    </sheetNames>
    <sheetDataSet>
      <sheetData sheetId="0"/>
      <sheetData sheetId="1"/>
      <sheetData sheetId="2"/>
      <sheetData sheetId="3">
        <row r="4">
          <cell r="B4">
            <v>0</v>
          </cell>
        </row>
        <row r="5">
          <cell r="B5">
            <v>0</v>
          </cell>
        </row>
        <row r="6">
          <cell r="B6">
            <v>458000</v>
          </cell>
        </row>
        <row r="8">
          <cell r="B8">
            <v>8937</v>
          </cell>
        </row>
        <row r="9">
          <cell r="B9">
            <v>0</v>
          </cell>
        </row>
        <row r="14">
          <cell r="B14">
            <v>1000</v>
          </cell>
        </row>
        <row r="16">
          <cell r="B16">
            <v>900</v>
          </cell>
        </row>
        <row r="18">
          <cell r="B18">
            <v>60883</v>
          </cell>
        </row>
        <row r="19">
          <cell r="B19">
            <v>11380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SPENDIO Geral Empresa"/>
      <sheetName val="Fluxo de Caixa"/>
      <sheetName val="Cronograma Desembolso"/>
      <sheetName val="Pagamento RH e DSO"/>
      <sheetName val="Controle - Remanejamento"/>
    </sheetNames>
    <sheetDataSet>
      <sheetData sheetId="0" refreshError="1"/>
      <sheetData sheetId="1" refreshError="1"/>
      <sheetData sheetId="2">
        <row r="4">
          <cell r="E4">
            <v>0</v>
          </cell>
        </row>
        <row r="5">
          <cell r="E5">
            <v>0</v>
          </cell>
        </row>
        <row r="6">
          <cell r="E6">
            <v>134250</v>
          </cell>
        </row>
        <row r="19">
          <cell r="D19">
            <v>0</v>
          </cell>
          <cell r="E19">
            <v>0</v>
          </cell>
        </row>
        <row r="21">
          <cell r="E21">
            <v>0</v>
          </cell>
        </row>
        <row r="24">
          <cell r="E24">
            <v>8400</v>
          </cell>
        </row>
        <row r="27">
          <cell r="E27">
            <v>0</v>
          </cell>
        </row>
        <row r="28">
          <cell r="D28">
            <v>22400</v>
          </cell>
          <cell r="E28">
            <v>8400</v>
          </cell>
        </row>
        <row r="30">
          <cell r="E30">
            <v>0</v>
          </cell>
        </row>
        <row r="31">
          <cell r="E31">
            <v>0</v>
          </cell>
        </row>
        <row r="32">
          <cell r="E32">
            <v>0</v>
          </cell>
        </row>
        <row r="33">
          <cell r="E33">
            <v>142650</v>
          </cell>
        </row>
      </sheetData>
      <sheetData sheetId="3" refreshError="1"/>
      <sheetData sheetId="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E7327E-8C00-4373-B27E-01D469115BE9}" name="det_execucao_orcamentaria" displayName="det_execucao_orcamentaria" ref="A1:G15" totalsRowCount="1" headerRowDxfId="15" dataDxfId="14">
  <autoFilter ref="A1:G14" xr:uid="{A1E7327E-8C00-4373-B27E-01D469115BE9}"/>
  <tableColumns count="7">
    <tableColumn id="1" xr3:uid="{7439D715-5CDD-4F38-B2EA-0FE0B4DF4F8C}" name="Rubrica" totalsRowLabel="Total" dataDxfId="13" totalsRowDxfId="12"/>
    <tableColumn id="2" xr3:uid="{93BF2F5C-62F0-4B9D-BBD9-CC2696EDB946}" name="Previsto" totalsRowFunction="sum" dataDxfId="11" totalsRowDxfId="10" dataCellStyle="Moeda"/>
    <tableColumn id="8" xr3:uid="{864651BE-3F1F-4547-80D6-64F66C7D99C1}" name="%Previsto" dataDxfId="9" totalsRowDxfId="8" dataCellStyle="Moeda"/>
    <tableColumn id="3" xr3:uid="{31506921-43AE-4DA8-A1F2-EAD1B19ED4EA}" name="Executado" totalsRowFunction="sum" dataDxfId="7" totalsRowDxfId="6" dataCellStyle="Moeda">
      <calculatedColumnFormula>'[2]Cronograma Desembolso'!$E$5</calculatedColumnFormula>
    </tableColumn>
    <tableColumn id="4" xr3:uid="{0441782E-2B8B-4127-8A1A-2245A1B11DD9}" name="Disponível" totalsRowFunction="sum" dataDxfId="5" totalsRowDxfId="4" dataCellStyle="Moeda">
      <calculatedColumnFormula>det_execucao_orcamentaria[[#This Row],[Previsto]]-det_execucao_orcamentaria[[#This Row],[Executado]]</calculatedColumnFormula>
    </tableColumn>
    <tableColumn id="5" xr3:uid="{6907C160-B7A1-4754-A7D0-3F537F3AB54A}" name="%execucao_item" dataDxfId="3" totalsRowDxfId="2" dataCellStyle="Porcentagem">
      <calculatedColumnFormula>IF(det_execucao_orcamentaria[[#This Row],[Previsto]]=0,"",det_execucao_orcamentaria[[#This Row],[Executado]]/det_execucao_orcamentaria[[#This Row],[Previsto]])</calculatedColumnFormula>
    </tableColumn>
    <tableColumn id="6" xr3:uid="{FE040403-9E54-4FC7-86E3-84C26CB4212E}" name="%execucao_geral" totalsRowFunction="sum" dataDxfId="1" totalsRowDxfId="0" dataCellStyle="Porcentagem">
      <calculatedColumnFormula>det_execucao_orcamentaria[[#This Row],[Executado]]/det_execucao_orcamentaria[[#Totals],[Previsto]]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"/>
  <sheetViews>
    <sheetView showGridLines="0" zoomScale="85" zoomScaleNormal="85" workbookViewId="0">
      <selection activeCell="G13" sqref="G13"/>
    </sheetView>
  </sheetViews>
  <sheetFormatPr defaultColWidth="20.7109375" defaultRowHeight="15" x14ac:dyDescent="0.25"/>
  <cols>
    <col min="1" max="1" width="45.85546875" style="2" bestFit="1" customWidth="1"/>
    <col min="2" max="2" width="14.28515625" style="1" bestFit="1" customWidth="1"/>
    <col min="3" max="3" width="14.28515625" style="1" customWidth="1"/>
    <col min="4" max="4" width="14.7109375" style="1" bestFit="1" customWidth="1"/>
    <col min="5" max="5" width="15" style="1" bestFit="1" customWidth="1"/>
    <col min="6" max="6" width="20.7109375" style="1"/>
    <col min="7" max="7" width="21" bestFit="1" customWidth="1"/>
  </cols>
  <sheetData>
    <row r="1" spans="1:7" x14ac:dyDescent="0.25">
      <c r="A1" s="3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19</v>
      </c>
      <c r="G1" s="1" t="s">
        <v>18</v>
      </c>
    </row>
    <row r="2" spans="1:7" x14ac:dyDescent="0.25">
      <c r="A2" s="4" t="s">
        <v>4</v>
      </c>
      <c r="B2" s="6">
        <f>[1]orcamento_biocaroco!$B$4</f>
        <v>0</v>
      </c>
      <c r="C2" s="11">
        <v>1</v>
      </c>
      <c r="D2" s="6">
        <f>'[2]Cronograma Desembolso'!$E$4</f>
        <v>0</v>
      </c>
      <c r="E2" s="6">
        <f>det_execucao_orcamentaria[[#This Row],[Previsto]]-det_execucao_orcamentaria[[#This Row],[Executado]]</f>
        <v>0</v>
      </c>
      <c r="F2" s="9">
        <f>IF(det_execucao_orcamentaria[[#This Row],[Previsto]]=0,0,det_execucao_orcamentaria[[#This Row],[Executado]]/det_execucao_orcamentaria[[#This Row],[Previsto]])</f>
        <v>0</v>
      </c>
      <c r="G2" s="9">
        <f>det_execucao_orcamentaria[[#This Row],[Executado]]/det_execucao_orcamentaria[[#Totals],[Previsto]]</f>
        <v>0</v>
      </c>
    </row>
    <row r="3" spans="1:7" x14ac:dyDescent="0.25">
      <c r="A3" s="4" t="s">
        <v>8</v>
      </c>
      <c r="B3" s="6">
        <f>[1]orcamento_biocaroco!$B$5</f>
        <v>0</v>
      </c>
      <c r="C3" s="11">
        <v>1</v>
      </c>
      <c r="D3" s="6">
        <f>'[2]Cronograma Desembolso'!$E$5</f>
        <v>0</v>
      </c>
      <c r="E3" s="6">
        <f>det_execucao_orcamentaria[[#This Row],[Previsto]]-det_execucao_orcamentaria[[#This Row],[Executado]]</f>
        <v>0</v>
      </c>
      <c r="F3" s="9">
        <f>IF(det_execucao_orcamentaria[[#This Row],[Previsto]]=0,0,det_execucao_orcamentaria[[#This Row],[Executado]]/det_execucao_orcamentaria[[#This Row],[Previsto]])</f>
        <v>0</v>
      </c>
      <c r="G3" s="9">
        <f>det_execucao_orcamentaria[[#This Row],[Executado]]/det_execucao_orcamentaria[[#Totals],[Previsto]]</f>
        <v>0</v>
      </c>
    </row>
    <row r="4" spans="1:7" x14ac:dyDescent="0.25">
      <c r="A4" s="4" t="s">
        <v>5</v>
      </c>
      <c r="B4" s="6">
        <f>[1]orcamento_biocaroco!$B$6</f>
        <v>458000</v>
      </c>
      <c r="C4" s="11">
        <v>1</v>
      </c>
      <c r="D4" s="6">
        <f>'[2]Cronograma Desembolso'!$E$6</f>
        <v>134250</v>
      </c>
      <c r="E4" s="6">
        <f>det_execucao_orcamentaria[[#This Row],[Previsto]]-det_execucao_orcamentaria[[#This Row],[Executado]]</f>
        <v>323750</v>
      </c>
      <c r="F4" s="9">
        <f>IF(det_execucao_orcamentaria[[#This Row],[Previsto]]=0,"",det_execucao_orcamentaria[[#This Row],[Executado]]/det_execucao_orcamentaria[[#This Row],[Previsto]])</f>
        <v>0.29312227074235808</v>
      </c>
      <c r="G4" s="9">
        <f>det_execucao_orcamentaria[[#This Row],[Executado]]/det_execucao_orcamentaria[[#Totals],[Previsto]]</f>
        <v>0.23594024604569419</v>
      </c>
    </row>
    <row r="5" spans="1:7" x14ac:dyDescent="0.25">
      <c r="A5" s="4" t="s">
        <v>6</v>
      </c>
      <c r="B5" s="6">
        <f>'[2]Cronograma Desembolso'!$D$19</f>
        <v>0</v>
      </c>
      <c r="C5" s="11">
        <v>1</v>
      </c>
      <c r="D5" s="6">
        <f>'[2]Cronograma Desembolso'!$E$19</f>
        <v>0</v>
      </c>
      <c r="E5" s="6">
        <f>det_execucao_orcamentaria[[#This Row],[Previsto]]-det_execucao_orcamentaria[[#This Row],[Executado]]</f>
        <v>0</v>
      </c>
      <c r="F5" s="9" t="str">
        <f>IF(det_execucao_orcamentaria[[#This Row],[Previsto]]=0,"",det_execucao_orcamentaria[[#This Row],[Executado]]/det_execucao_orcamentaria[[#This Row],[Previsto]])</f>
        <v/>
      </c>
      <c r="G5" s="9">
        <f>det_execucao_orcamentaria[[#This Row],[Executado]]/det_execucao_orcamentaria[[#Totals],[Previsto]]</f>
        <v>0</v>
      </c>
    </row>
    <row r="6" spans="1:7" x14ac:dyDescent="0.25">
      <c r="A6" s="4" t="s">
        <v>9</v>
      </c>
      <c r="B6" s="6">
        <f>[1]orcamento_biocaroco!$B$8</f>
        <v>8937</v>
      </c>
      <c r="C6" s="11">
        <v>1</v>
      </c>
      <c r="D6" s="6">
        <f>'[2]Cronograma Desembolso'!$E$21</f>
        <v>0</v>
      </c>
      <c r="E6" s="6">
        <f>det_execucao_orcamentaria[[#This Row],[Previsto]]-det_execucao_orcamentaria[[#This Row],[Executado]]</f>
        <v>8937</v>
      </c>
      <c r="F6" s="9">
        <f>IF(det_execucao_orcamentaria[[#This Row],[Previsto]]=0,"",det_execucao_orcamentaria[[#This Row],[Executado]]/det_execucao_orcamentaria[[#This Row],[Previsto]])</f>
        <v>0</v>
      </c>
      <c r="G6" s="9">
        <f>det_execucao_orcamentaria[[#This Row],[Executado]]/det_execucao_orcamentaria[[#Totals],[Previsto]]</f>
        <v>0</v>
      </c>
    </row>
    <row r="7" spans="1:7" x14ac:dyDescent="0.25">
      <c r="A7" s="4" t="s">
        <v>10</v>
      </c>
      <c r="B7" s="6">
        <f>[1]orcamento_biocaroco!$B$9</f>
        <v>0</v>
      </c>
      <c r="C7" s="11">
        <v>1</v>
      </c>
      <c r="D7" s="6">
        <f>'[2]Cronograma Desembolso'!$E$24</f>
        <v>8400</v>
      </c>
      <c r="E7" s="6">
        <f>det_execucao_orcamentaria[[#This Row],[Previsto]]-det_execucao_orcamentaria[[#This Row],[Executado]]</f>
        <v>-8400</v>
      </c>
      <c r="F7" s="9">
        <f>IF(det_execucao_orcamentaria[[#This Row],[Previsto]]=0,0,det_execucao_orcamentaria[[#This Row],[Executado]]/det_execucao_orcamentaria[[#This Row],[Previsto]])</f>
        <v>0</v>
      </c>
      <c r="G7" s="9">
        <f>det_execucao_orcamentaria[[#This Row],[Executado]]/det_execucao_orcamentaria[[#Totals],[Previsto]]</f>
        <v>1.4762741652021089E-2</v>
      </c>
    </row>
    <row r="8" spans="1:7" x14ac:dyDescent="0.25">
      <c r="A8" s="4" t="s">
        <v>7</v>
      </c>
      <c r="B8" s="6"/>
      <c r="C8" s="6"/>
      <c r="D8" s="6">
        <f>'[2]Cronograma Desembolso'!$E$5</f>
        <v>0</v>
      </c>
      <c r="E8" s="6">
        <f>det_execucao_orcamentaria[[#This Row],[Previsto]]-det_execucao_orcamentaria[[#This Row],[Executado]]</f>
        <v>0</v>
      </c>
      <c r="F8" s="9">
        <f>IF(det_execucao_orcamentaria[[#This Row],[Previsto]]=0,0,det_execucao_orcamentaria[[#This Row],[Executado]]/det_execucao_orcamentaria[[#This Row],[Previsto]])</f>
        <v>0</v>
      </c>
      <c r="G8" s="9"/>
    </row>
    <row r="9" spans="1:7" x14ac:dyDescent="0.25">
      <c r="A9" s="5" t="s">
        <v>14</v>
      </c>
      <c r="B9" s="6">
        <f>[1]orcamento_biocaroco!$B$18</f>
        <v>60883</v>
      </c>
      <c r="C9" s="11">
        <v>1</v>
      </c>
      <c r="D9" s="6">
        <f>'[2]Cronograma Desembolso'!$E$31</f>
        <v>0</v>
      </c>
      <c r="E9" s="6">
        <f>det_execucao_orcamentaria[[#This Row],[Previsto]]-det_execucao_orcamentaria[[#This Row],[Executado]]</f>
        <v>60883</v>
      </c>
      <c r="F9" s="9">
        <f>IF(det_execucao_orcamentaria[[#This Row],[Previsto]]=0,0,det_execucao_orcamentaria[[#This Row],[Executado]]/det_execucao_orcamentaria[[#This Row],[Previsto]])</f>
        <v>0</v>
      </c>
      <c r="G9" s="9">
        <f>det_execucao_orcamentaria[[#This Row],[Executado]]/det_execucao_orcamentaria[[#Totals],[Previsto]]</f>
        <v>0</v>
      </c>
    </row>
    <row r="10" spans="1:7" x14ac:dyDescent="0.25">
      <c r="A10" s="5" t="s">
        <v>15</v>
      </c>
      <c r="B10" s="6">
        <f>[1]orcamento_biocaroco!$B$19</f>
        <v>11380</v>
      </c>
      <c r="C10" s="11">
        <v>1</v>
      </c>
      <c r="D10" s="6">
        <f>'[2]Cronograma Desembolso'!$E$32</f>
        <v>0</v>
      </c>
      <c r="E10" s="6">
        <f>det_execucao_orcamentaria[[#This Row],[Previsto]]-det_execucao_orcamentaria[[#This Row],[Executado]]</f>
        <v>11380</v>
      </c>
      <c r="F10" s="9">
        <f>IF(det_execucao_orcamentaria[[#This Row],[Previsto]]=0,0,det_execucao_orcamentaria[[#This Row],[Executado]]/det_execucao_orcamentaria[[#This Row],[Previsto]])</f>
        <v>0</v>
      </c>
      <c r="G10" s="9">
        <f>det_execucao_orcamentaria[[#This Row],[Executado]]/det_execucao_orcamentaria[[#Totals],[Previsto]]</f>
        <v>0</v>
      </c>
    </row>
    <row r="11" spans="1:7" x14ac:dyDescent="0.25">
      <c r="A11" s="5" t="s">
        <v>11</v>
      </c>
      <c r="B11" s="6">
        <v>5500</v>
      </c>
      <c r="C11" s="11">
        <v>1</v>
      </c>
      <c r="D11" s="6">
        <f>'[2]Cronograma Desembolso'!$E$33</f>
        <v>142650</v>
      </c>
      <c r="E11" s="6">
        <f>det_execucao_orcamentaria[[#This Row],[Previsto]]-det_execucao_orcamentaria[[#This Row],[Executado]]</f>
        <v>-137150</v>
      </c>
      <c r="F11" s="9">
        <f>IF(det_execucao_orcamentaria[[#This Row],[Previsto]]=0,0,det_execucao_orcamentaria[[#This Row],[Executado]]/det_execucao_orcamentaria[[#This Row],[Previsto]])</f>
        <v>25.936363636363637</v>
      </c>
      <c r="G11" s="9">
        <f>det_execucao_orcamentaria[[#This Row],[Executado]]/det_execucao_orcamentaria[[#Totals],[Previsto]]</f>
        <v>0.25070298769771526</v>
      </c>
    </row>
    <row r="12" spans="1:7" x14ac:dyDescent="0.25">
      <c r="A12" s="5" t="s">
        <v>12</v>
      </c>
      <c r="B12" s="6">
        <f>[1]orcamento_biocaroco!$B$16</f>
        <v>900</v>
      </c>
      <c r="C12" s="11">
        <v>1</v>
      </c>
      <c r="D12" s="6">
        <f>'[2]Cronograma Desembolso'!$E$30</f>
        <v>0</v>
      </c>
      <c r="E12" s="6">
        <f>det_execucao_orcamentaria[[#This Row],[Previsto]]-det_execucao_orcamentaria[[#This Row],[Executado]]</f>
        <v>900</v>
      </c>
      <c r="F12" s="9">
        <f>IF(det_execucao_orcamentaria[[#This Row],[Previsto]]=0,0,det_execucao_orcamentaria[[#This Row],[Executado]]/det_execucao_orcamentaria[[#This Row],[Previsto]])</f>
        <v>0</v>
      </c>
      <c r="G12" s="9">
        <f>det_execucao_orcamentaria[[#This Row],[Executado]]/det_execucao_orcamentaria[[#Totals],[Previsto]]</f>
        <v>0</v>
      </c>
    </row>
    <row r="13" spans="1:7" x14ac:dyDescent="0.25">
      <c r="A13" s="5" t="s">
        <v>13</v>
      </c>
      <c r="B13" s="6">
        <f>'[2]Cronograma Desembolso'!$D$28</f>
        <v>22400</v>
      </c>
      <c r="C13" s="11">
        <v>1</v>
      </c>
      <c r="D13" s="6">
        <f>'[2]Cronograma Desembolso'!$E$28</f>
        <v>8400</v>
      </c>
      <c r="E13" s="6">
        <f>det_execucao_orcamentaria[[#This Row],[Previsto]]-det_execucao_orcamentaria[[#This Row],[Executado]]</f>
        <v>14000</v>
      </c>
      <c r="F13" s="9">
        <f>IF(det_execucao_orcamentaria[[#This Row],[Previsto]]=0,0,det_execucao_orcamentaria[[#This Row],[Executado]]/det_execucao_orcamentaria[[#This Row],[Previsto]])</f>
        <v>0.375</v>
      </c>
      <c r="G13" s="9">
        <f>det_execucao_orcamentaria[[#This Row],[Executado]]/det_execucao_orcamentaria[[#Totals],[Previsto]]</f>
        <v>1.4762741652021089E-2</v>
      </c>
    </row>
    <row r="14" spans="1:7" x14ac:dyDescent="0.25">
      <c r="A14" s="5" t="s">
        <v>16</v>
      </c>
      <c r="B14" s="6">
        <f>[1]orcamento_biocaroco!$B$14</f>
        <v>1000</v>
      </c>
      <c r="C14" s="11">
        <v>1</v>
      </c>
      <c r="D14" s="6">
        <f>'[2]Cronograma Desembolso'!$E$27</f>
        <v>0</v>
      </c>
      <c r="E14" s="6">
        <f>det_execucao_orcamentaria[[#This Row],[Previsto]]-det_execucao_orcamentaria[[#This Row],[Executado]]</f>
        <v>1000</v>
      </c>
      <c r="F14" s="9">
        <f>IF(det_execucao_orcamentaria[[#This Row],[Previsto]]=0,0,det_execucao_orcamentaria[[#This Row],[Executado]]/det_execucao_orcamentaria[[#This Row],[Previsto]])</f>
        <v>0</v>
      </c>
      <c r="G14" s="9">
        <f>det_execucao_orcamentaria[[#This Row],[Executado]]/det_execucao_orcamentaria[[#Totals],[Previsto]]</f>
        <v>0</v>
      </c>
    </row>
    <row r="15" spans="1:7" x14ac:dyDescent="0.25">
      <c r="A15" s="2" t="s">
        <v>17</v>
      </c>
      <c r="B15" s="8">
        <f>SUBTOTAL(109,det_execucao_orcamentaria[Previsto])</f>
        <v>569000</v>
      </c>
      <c r="C15" s="8"/>
      <c r="D15" s="8">
        <f>SUBTOTAL(109,det_execucao_orcamentaria[Executado])</f>
        <v>293700</v>
      </c>
      <c r="E15" s="8">
        <f>SUBTOTAL(109,det_execucao_orcamentaria[Disponível])</f>
        <v>275300</v>
      </c>
      <c r="F15" s="7"/>
      <c r="G15" s="10">
        <f>SUBTOTAL(109,det_execucao_orcamentaria[%execucao_geral])</f>
        <v>0.5161687170474516</v>
      </c>
    </row>
  </sheetData>
  <pageMargins left="0.7" right="0.7" top="0.75" bottom="0.75" header="0.3" footer="0.3"/>
  <ignoredErrors>
    <ignoredError sqref="D2:D4 F2:F3 F7:F14 D5:D12 D13:D14" calculatedColumn="1"/>
  </ignoredErrors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CF5E1-F34F-488D-AF8D-71DA7BBED7B8}">
  <dimension ref="B2:K18"/>
  <sheetViews>
    <sheetView workbookViewId="0"/>
  </sheetViews>
  <sheetFormatPr defaultRowHeight="15" x14ac:dyDescent="0.25"/>
  <cols>
    <col min="1" max="1" width="3.7109375" customWidth="1"/>
    <col min="2" max="2" width="24.7109375" customWidth="1"/>
    <col min="3" max="3" width="16.7109375" customWidth="1"/>
    <col min="4" max="11" width="15.7109375" customWidth="1"/>
  </cols>
  <sheetData>
    <row r="2" spans="2:11" ht="18.75" x14ac:dyDescent="0.35">
      <c r="B2" s="13" t="s">
        <v>21</v>
      </c>
      <c r="C2" s="12"/>
      <c r="D2" s="12"/>
      <c r="E2" s="12"/>
      <c r="F2" s="12"/>
      <c r="G2" s="12"/>
      <c r="H2" s="12"/>
      <c r="I2" s="12"/>
      <c r="J2" s="12"/>
      <c r="K2" s="12"/>
    </row>
    <row r="3" spans="2:11" x14ac:dyDescent="0.25">
      <c r="B3" s="14" t="s">
        <v>22</v>
      </c>
      <c r="C3" s="12"/>
      <c r="D3" s="12"/>
      <c r="E3" s="12"/>
      <c r="F3" s="12"/>
      <c r="G3" s="12"/>
      <c r="H3" s="12"/>
      <c r="I3" s="12"/>
      <c r="J3" s="12"/>
      <c r="K3" s="12"/>
    </row>
    <row r="5" spans="2:11" x14ac:dyDescent="0.25">
      <c r="B5" s="15" t="s">
        <v>23</v>
      </c>
      <c r="C5" s="15"/>
      <c r="D5" s="18" t="s">
        <v>26</v>
      </c>
      <c r="E5" s="18"/>
      <c r="F5" s="19" t="s">
        <v>29</v>
      </c>
      <c r="G5" s="19"/>
      <c r="H5" s="20" t="s">
        <v>32</v>
      </c>
      <c r="I5" s="20"/>
      <c r="J5" s="21" t="s">
        <v>35</v>
      </c>
      <c r="K5" s="21"/>
    </row>
    <row r="6" spans="2:11" ht="24" x14ac:dyDescent="0.25">
      <c r="B6" s="16" t="s">
        <v>24</v>
      </c>
      <c r="C6" s="16"/>
      <c r="D6" s="16" t="s">
        <v>27</v>
      </c>
      <c r="E6" s="16"/>
      <c r="F6" s="16" t="s">
        <v>30</v>
      </c>
      <c r="G6" s="16"/>
      <c r="H6" s="16" t="s">
        <v>33</v>
      </c>
      <c r="I6" s="16"/>
      <c r="J6" s="16" t="s">
        <v>36</v>
      </c>
      <c r="K6" s="16"/>
    </row>
    <row r="7" spans="2:11" x14ac:dyDescent="0.25">
      <c r="B7" s="17" t="s">
        <v>25</v>
      </c>
      <c r="C7" s="17"/>
      <c r="D7" s="17" t="s">
        <v>28</v>
      </c>
      <c r="E7" s="17"/>
      <c r="F7" s="17" t="s">
        <v>31</v>
      </c>
      <c r="G7" s="17"/>
      <c r="H7" s="17" t="s">
        <v>34</v>
      </c>
      <c r="I7" s="17"/>
      <c r="J7" s="17" t="s">
        <v>37</v>
      </c>
      <c r="K7" s="17"/>
    </row>
    <row r="9" spans="2:11" x14ac:dyDescent="0.25">
      <c r="B9" s="22" t="s">
        <v>38</v>
      </c>
      <c r="C9" s="23"/>
      <c r="D9" s="23"/>
      <c r="E9" s="23"/>
      <c r="F9" s="23"/>
      <c r="G9" s="23"/>
      <c r="H9" s="23"/>
      <c r="I9" s="23"/>
      <c r="J9" s="23"/>
      <c r="K9" s="23"/>
    </row>
    <row r="10" spans="2:11" x14ac:dyDescent="0.25">
      <c r="B10" s="24" t="s">
        <v>39</v>
      </c>
      <c r="C10" s="24"/>
      <c r="D10" s="25" t="s">
        <v>40</v>
      </c>
      <c r="E10" s="25"/>
      <c r="F10" s="25" t="s">
        <v>41</v>
      </c>
      <c r="G10" s="25"/>
      <c r="H10" s="25" t="s">
        <v>42</v>
      </c>
      <c r="I10" s="25"/>
      <c r="J10" s="26" t="s">
        <v>43</v>
      </c>
      <c r="K10" s="26"/>
    </row>
    <row r="11" spans="2:11" x14ac:dyDescent="0.25">
      <c r="B11" s="33" t="s">
        <v>44</v>
      </c>
      <c r="C11" s="33"/>
      <c r="D11" s="34">
        <v>458000</v>
      </c>
      <c r="E11" s="35"/>
      <c r="F11" s="34">
        <v>134250</v>
      </c>
      <c r="G11" s="35"/>
      <c r="H11" s="34">
        <v>323750</v>
      </c>
      <c r="I11" s="35"/>
      <c r="J11" s="36">
        <v>0.29299999999999998</v>
      </c>
      <c r="K11" s="37"/>
    </row>
    <row r="12" spans="2:11" x14ac:dyDescent="0.25">
      <c r="B12" s="28" t="s">
        <v>45</v>
      </c>
      <c r="C12" s="28"/>
      <c r="D12" s="29">
        <v>22400</v>
      </c>
      <c r="E12" s="30"/>
      <c r="F12" s="29">
        <v>0</v>
      </c>
      <c r="G12" s="30"/>
      <c r="H12" s="29">
        <v>22400</v>
      </c>
      <c r="I12" s="30"/>
      <c r="J12" s="31">
        <v>0</v>
      </c>
      <c r="K12" s="32"/>
    </row>
    <row r="13" spans="2:11" x14ac:dyDescent="0.25">
      <c r="B13" s="33" t="s">
        <v>46</v>
      </c>
      <c r="C13" s="33"/>
      <c r="D13" s="34">
        <v>8937</v>
      </c>
      <c r="E13" s="35"/>
      <c r="F13" s="34">
        <v>257.14999999999998</v>
      </c>
      <c r="G13" s="35"/>
      <c r="H13" s="34">
        <v>8679.85</v>
      </c>
      <c r="I13" s="35"/>
      <c r="J13" s="36">
        <v>2.9000000000000001E-2</v>
      </c>
      <c r="K13" s="37"/>
    </row>
    <row r="14" spans="2:11" x14ac:dyDescent="0.25">
      <c r="B14" s="28" t="s">
        <v>47</v>
      </c>
      <c r="C14" s="28"/>
      <c r="D14" s="29">
        <v>5500</v>
      </c>
      <c r="E14" s="30"/>
      <c r="F14" s="29">
        <v>4125</v>
      </c>
      <c r="G14" s="30"/>
      <c r="H14" s="29">
        <v>1375</v>
      </c>
      <c r="I14" s="30"/>
      <c r="J14" s="31">
        <v>0.75</v>
      </c>
      <c r="K14" s="32"/>
    </row>
    <row r="15" spans="2:11" x14ac:dyDescent="0.25">
      <c r="B15" s="33" t="s">
        <v>48</v>
      </c>
      <c r="C15" s="33"/>
      <c r="D15" s="34">
        <v>1000</v>
      </c>
      <c r="E15" s="35"/>
      <c r="F15" s="34">
        <v>141.68</v>
      </c>
      <c r="G15" s="35"/>
      <c r="H15" s="34">
        <v>858.32</v>
      </c>
      <c r="I15" s="35"/>
      <c r="J15" s="36">
        <v>0.14199999999999999</v>
      </c>
      <c r="K15" s="37"/>
    </row>
    <row r="16" spans="2:11" x14ac:dyDescent="0.25">
      <c r="B16" s="28" t="s">
        <v>49</v>
      </c>
      <c r="C16" s="28"/>
      <c r="D16" s="29">
        <v>72263</v>
      </c>
      <c r="E16" s="30"/>
      <c r="F16" s="29">
        <v>8400</v>
      </c>
      <c r="G16" s="30"/>
      <c r="H16" s="29">
        <v>63863</v>
      </c>
      <c r="I16" s="30"/>
      <c r="J16" s="31">
        <v>0.11600000000000001</v>
      </c>
      <c r="K16" s="32"/>
    </row>
    <row r="17" spans="2:11" x14ac:dyDescent="0.25">
      <c r="B17" s="38" t="s">
        <v>50</v>
      </c>
      <c r="C17" s="38"/>
      <c r="D17" s="39">
        <v>568100</v>
      </c>
      <c r="E17" s="40"/>
      <c r="F17" s="39">
        <v>147173.82999999999</v>
      </c>
      <c r="G17" s="40"/>
      <c r="H17" s="39">
        <v>420926.17</v>
      </c>
      <c r="I17" s="40"/>
      <c r="J17" s="41">
        <v>0.25900000000000001</v>
      </c>
      <c r="K17" s="42"/>
    </row>
    <row r="18" spans="2:11" x14ac:dyDescent="0.25">
      <c r="B18" s="43" t="s">
        <v>51</v>
      </c>
      <c r="C18" s="27"/>
      <c r="D18" s="27"/>
      <c r="E18" s="27"/>
      <c r="F18" s="27"/>
      <c r="G18" s="27"/>
      <c r="H18" s="27"/>
      <c r="I18" s="27"/>
      <c r="J18" s="27"/>
      <c r="K18" s="27"/>
    </row>
  </sheetData>
  <mergeCells count="59">
    <mergeCell ref="B17:C17"/>
    <mergeCell ref="D17:E17"/>
    <mergeCell ref="F17:G17"/>
    <mergeCell ref="H17:I17"/>
    <mergeCell ref="J17:K17"/>
    <mergeCell ref="B18:K18"/>
    <mergeCell ref="B15:C15"/>
    <mergeCell ref="D15:E15"/>
    <mergeCell ref="F15:G15"/>
    <mergeCell ref="H15:I15"/>
    <mergeCell ref="J15:K15"/>
    <mergeCell ref="B16:C16"/>
    <mergeCell ref="D16:E16"/>
    <mergeCell ref="F16:G16"/>
    <mergeCell ref="H16:I16"/>
    <mergeCell ref="J16:K16"/>
    <mergeCell ref="B13:C13"/>
    <mergeCell ref="D13:E13"/>
    <mergeCell ref="F13:G13"/>
    <mergeCell ref="H13:I13"/>
    <mergeCell ref="J13:K13"/>
    <mergeCell ref="B14:C14"/>
    <mergeCell ref="D14:E14"/>
    <mergeCell ref="F14:G14"/>
    <mergeCell ref="H14:I14"/>
    <mergeCell ref="J14:K14"/>
    <mergeCell ref="B11:C11"/>
    <mergeCell ref="D11:E11"/>
    <mergeCell ref="F11:G11"/>
    <mergeCell ref="H11:I11"/>
    <mergeCell ref="J11:K11"/>
    <mergeCell ref="B12:C12"/>
    <mergeCell ref="D12:E12"/>
    <mergeCell ref="F12:G12"/>
    <mergeCell ref="H12:I12"/>
    <mergeCell ref="J12:K12"/>
    <mergeCell ref="B9:K9"/>
    <mergeCell ref="B10:C10"/>
    <mergeCell ref="D10:E10"/>
    <mergeCell ref="F10:G10"/>
    <mergeCell ref="H10:I10"/>
    <mergeCell ref="J10:K10"/>
    <mergeCell ref="F7:G7"/>
    <mergeCell ref="H5:I5"/>
    <mergeCell ref="H6:I6"/>
    <mergeCell ref="H7:I7"/>
    <mergeCell ref="J5:K5"/>
    <mergeCell ref="J6:K6"/>
    <mergeCell ref="J7:K7"/>
    <mergeCell ref="B2:K2"/>
    <mergeCell ref="B3:K3"/>
    <mergeCell ref="B5:C5"/>
    <mergeCell ref="B6:C6"/>
    <mergeCell ref="B7:C7"/>
    <mergeCell ref="D5:E5"/>
    <mergeCell ref="D6:E6"/>
    <mergeCell ref="D7:E7"/>
    <mergeCell ref="F5:G5"/>
    <mergeCell ref="F6:G6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B013D-C228-4299-A3C3-51C9B554EA35}">
  <dimension ref="B2:K15"/>
  <sheetViews>
    <sheetView workbookViewId="0"/>
  </sheetViews>
  <sheetFormatPr defaultRowHeight="15" x14ac:dyDescent="0.25"/>
  <cols>
    <col min="1" max="1" width="3.7109375" customWidth="1"/>
    <col min="2" max="2" width="24.7109375" customWidth="1"/>
    <col min="3" max="3" width="16.7109375" customWidth="1"/>
    <col min="4" max="11" width="15.7109375" customWidth="1"/>
  </cols>
  <sheetData>
    <row r="2" spans="2:11" ht="18.75" x14ac:dyDescent="0.35">
      <c r="B2" s="13" t="s">
        <v>52</v>
      </c>
      <c r="C2" s="12"/>
      <c r="D2" s="12"/>
      <c r="E2" s="12"/>
      <c r="F2" s="12"/>
      <c r="G2" s="12"/>
      <c r="H2" s="12"/>
      <c r="I2" s="12"/>
      <c r="J2" s="12"/>
      <c r="K2" s="12"/>
    </row>
    <row r="3" spans="2:11" x14ac:dyDescent="0.25">
      <c r="B3" s="14" t="s">
        <v>53</v>
      </c>
      <c r="C3" s="12"/>
      <c r="D3" s="12"/>
      <c r="E3" s="12"/>
      <c r="F3" s="12"/>
      <c r="G3" s="12"/>
      <c r="H3" s="12"/>
      <c r="I3" s="12"/>
      <c r="J3" s="12"/>
      <c r="K3" s="12"/>
    </row>
    <row r="5" spans="2:11" x14ac:dyDescent="0.25">
      <c r="B5" s="22" t="s">
        <v>54</v>
      </c>
      <c r="C5" s="23"/>
      <c r="D5" s="23"/>
      <c r="E5" s="23"/>
      <c r="F5" s="23"/>
      <c r="H5" s="22" t="s">
        <v>78</v>
      </c>
      <c r="I5" s="23"/>
      <c r="J5" s="23"/>
      <c r="K5" s="23"/>
    </row>
    <row r="6" spans="2:11" x14ac:dyDescent="0.25">
      <c r="B6" s="44" t="s">
        <v>55</v>
      </c>
      <c r="C6" s="44" t="s">
        <v>56</v>
      </c>
      <c r="D6" s="44" t="s">
        <v>57</v>
      </c>
      <c r="E6" s="44" t="s">
        <v>58</v>
      </c>
      <c r="F6" s="44" t="s">
        <v>59</v>
      </c>
      <c r="H6" s="28" t="s">
        <v>79</v>
      </c>
      <c r="I6" s="28"/>
      <c r="J6" s="29">
        <v>332.27</v>
      </c>
      <c r="K6" s="30"/>
    </row>
    <row r="7" spans="2:11" x14ac:dyDescent="0.25">
      <c r="B7" s="47" t="s">
        <v>60</v>
      </c>
      <c r="C7" s="47" t="s">
        <v>61</v>
      </c>
      <c r="D7" s="47" t="s">
        <v>62</v>
      </c>
      <c r="E7" s="48">
        <v>103000</v>
      </c>
      <c r="F7" s="48">
        <v>103000</v>
      </c>
      <c r="H7" s="28" t="s">
        <v>80</v>
      </c>
      <c r="I7" s="28"/>
      <c r="J7" s="29">
        <v>61440.33</v>
      </c>
      <c r="K7" s="30"/>
    </row>
    <row r="8" spans="2:11" x14ac:dyDescent="0.25">
      <c r="B8" s="45" t="s">
        <v>63</v>
      </c>
      <c r="C8" s="45" t="s">
        <v>64</v>
      </c>
      <c r="D8" s="49">
        <v>46029</v>
      </c>
      <c r="E8" s="46">
        <v>27500</v>
      </c>
      <c r="F8" s="46">
        <v>130500</v>
      </c>
      <c r="H8" s="38" t="s">
        <v>81</v>
      </c>
      <c r="I8" s="38"/>
      <c r="J8" s="39">
        <v>137823.81</v>
      </c>
      <c r="K8" s="40"/>
    </row>
    <row r="9" spans="2:11" x14ac:dyDescent="0.25">
      <c r="B9" s="47" t="s">
        <v>65</v>
      </c>
      <c r="C9" s="47" t="s">
        <v>66</v>
      </c>
      <c r="D9" s="50">
        <v>46241</v>
      </c>
      <c r="E9" s="48">
        <v>150000</v>
      </c>
      <c r="F9" s="48">
        <v>280500</v>
      </c>
    </row>
    <row r="10" spans="2:11" x14ac:dyDescent="0.25">
      <c r="B10" s="45" t="s">
        <v>67</v>
      </c>
      <c r="C10" s="45" t="s">
        <v>68</v>
      </c>
      <c r="D10" s="45" t="s">
        <v>69</v>
      </c>
      <c r="E10" s="46">
        <v>27500</v>
      </c>
      <c r="F10" s="45" t="s">
        <v>70</v>
      </c>
      <c r="H10" s="51" t="s">
        <v>82</v>
      </c>
      <c r="I10" s="23"/>
      <c r="J10" s="23"/>
      <c r="K10" s="23"/>
    </row>
    <row r="11" spans="2:11" x14ac:dyDescent="0.25">
      <c r="B11" s="47" t="s">
        <v>71</v>
      </c>
      <c r="C11" s="47" t="s">
        <v>68</v>
      </c>
      <c r="D11" s="47" t="s">
        <v>69</v>
      </c>
      <c r="E11" s="48">
        <v>103000</v>
      </c>
      <c r="F11" s="47" t="s">
        <v>70</v>
      </c>
      <c r="H11" s="52" t="s">
        <v>83</v>
      </c>
      <c r="I11" s="52"/>
      <c r="J11" s="53">
        <v>4414.24</v>
      </c>
      <c r="K11" s="54"/>
    </row>
    <row r="12" spans="2:11" x14ac:dyDescent="0.25">
      <c r="B12" s="45" t="s">
        <v>72</v>
      </c>
      <c r="C12" s="45" t="s">
        <v>68</v>
      </c>
      <c r="D12" s="45" t="s">
        <v>73</v>
      </c>
      <c r="E12" s="46">
        <v>27500</v>
      </c>
      <c r="F12" s="45" t="s">
        <v>70</v>
      </c>
      <c r="H12" s="28" t="s">
        <v>84</v>
      </c>
      <c r="I12" s="28"/>
      <c r="J12" s="29">
        <v>332.27</v>
      </c>
      <c r="K12" s="30"/>
    </row>
    <row r="13" spans="2:11" x14ac:dyDescent="0.25">
      <c r="B13" s="47" t="s">
        <v>74</v>
      </c>
      <c r="C13" s="47" t="s">
        <v>68</v>
      </c>
      <c r="D13" s="47" t="s">
        <v>75</v>
      </c>
      <c r="E13" s="48">
        <v>103000</v>
      </c>
      <c r="F13" s="47" t="s">
        <v>70</v>
      </c>
      <c r="H13" s="28" t="s">
        <v>85</v>
      </c>
      <c r="I13" s="28"/>
      <c r="J13" s="29">
        <v>24.37</v>
      </c>
      <c r="K13" s="30"/>
    </row>
    <row r="14" spans="2:11" x14ac:dyDescent="0.25">
      <c r="B14" s="38" t="s">
        <v>76</v>
      </c>
      <c r="C14" s="38"/>
      <c r="D14" s="38"/>
      <c r="E14" s="39">
        <v>280500</v>
      </c>
      <c r="F14" s="40"/>
      <c r="H14" s="52" t="s">
        <v>86</v>
      </c>
      <c r="I14" s="52"/>
      <c r="J14" s="53">
        <v>4722.1400000000003</v>
      </c>
      <c r="K14" s="54"/>
    </row>
    <row r="15" spans="2:11" x14ac:dyDescent="0.25">
      <c r="B15" s="43" t="s">
        <v>77</v>
      </c>
      <c r="C15" s="27"/>
      <c r="D15" s="27"/>
      <c r="E15" s="27"/>
      <c r="F15" s="27"/>
    </row>
  </sheetData>
  <mergeCells count="22">
    <mergeCell ref="H12:I12"/>
    <mergeCell ref="J12:K12"/>
    <mergeCell ref="H13:I13"/>
    <mergeCell ref="J13:K13"/>
    <mergeCell ref="H14:I14"/>
    <mergeCell ref="J14:K14"/>
    <mergeCell ref="J7:K7"/>
    <mergeCell ref="H8:I8"/>
    <mergeCell ref="J8:K8"/>
    <mergeCell ref="H10:K10"/>
    <mergeCell ref="H11:I11"/>
    <mergeCell ref="J11:K11"/>
    <mergeCell ref="B2:K2"/>
    <mergeCell ref="B3:K3"/>
    <mergeCell ref="B5:F5"/>
    <mergeCell ref="B14:D14"/>
    <mergeCell ref="E14:F14"/>
    <mergeCell ref="B15:F15"/>
    <mergeCell ref="H5:K5"/>
    <mergeCell ref="H6:I6"/>
    <mergeCell ref="J6:K6"/>
    <mergeCell ref="H7:I7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B1006-54CE-4FBB-BFF9-2593A8629FBF}">
  <dimension ref="B2:K17"/>
  <sheetViews>
    <sheetView tabSelected="1" workbookViewId="0"/>
  </sheetViews>
  <sheetFormatPr defaultRowHeight="15" x14ac:dyDescent="0.25"/>
  <cols>
    <col min="1" max="1" width="3.7109375" customWidth="1"/>
    <col min="2" max="2" width="24.7109375" customWidth="1"/>
    <col min="3" max="3" width="16.7109375" customWidth="1"/>
    <col min="4" max="11" width="15.7109375" customWidth="1"/>
  </cols>
  <sheetData>
    <row r="2" spans="2:11" ht="18.75" x14ac:dyDescent="0.35">
      <c r="B2" s="13" t="s">
        <v>87</v>
      </c>
      <c r="C2" s="12"/>
      <c r="D2" s="12"/>
      <c r="E2" s="12"/>
      <c r="F2" s="12"/>
      <c r="G2" s="12"/>
      <c r="H2" s="12"/>
      <c r="I2" s="12"/>
      <c r="J2" s="12"/>
      <c r="K2" s="12"/>
    </row>
    <row r="3" spans="2:11" x14ac:dyDescent="0.25">
      <c r="B3" s="14" t="s">
        <v>88</v>
      </c>
      <c r="C3" s="12"/>
      <c r="D3" s="12"/>
      <c r="E3" s="12"/>
      <c r="F3" s="12"/>
      <c r="G3" s="12"/>
      <c r="H3" s="12"/>
      <c r="I3" s="12"/>
      <c r="J3" s="12"/>
      <c r="K3" s="12"/>
    </row>
    <row r="5" spans="2:11" x14ac:dyDescent="0.25">
      <c r="B5" s="22" t="s">
        <v>89</v>
      </c>
      <c r="C5" s="23"/>
      <c r="D5" s="23"/>
      <c r="E5" s="23"/>
      <c r="G5" s="58" t="s">
        <v>95</v>
      </c>
      <c r="H5" s="59"/>
      <c r="I5" s="59"/>
      <c r="J5" s="59"/>
      <c r="K5" s="59"/>
    </row>
    <row r="6" spans="2:11" ht="26.25" x14ac:dyDescent="0.45">
      <c r="B6" s="24" t="s">
        <v>39</v>
      </c>
      <c r="C6" s="55"/>
      <c r="D6" s="55"/>
      <c r="E6" s="44" t="s">
        <v>90</v>
      </c>
      <c r="G6" s="60" t="s">
        <v>96</v>
      </c>
      <c r="H6" s="59"/>
      <c r="I6" s="59"/>
      <c r="J6" s="59"/>
      <c r="K6" s="59"/>
    </row>
    <row r="7" spans="2:11" x14ac:dyDescent="0.25">
      <c r="B7" s="33" t="s">
        <v>91</v>
      </c>
      <c r="C7" s="33"/>
      <c r="D7" s="33"/>
      <c r="E7" s="57">
        <v>0.29299999999999998</v>
      </c>
      <c r="G7" s="61" t="s">
        <v>97</v>
      </c>
      <c r="H7" s="59"/>
      <c r="I7" s="59"/>
      <c r="J7" s="59"/>
      <c r="K7" s="59"/>
    </row>
    <row r="8" spans="2:11" x14ac:dyDescent="0.25">
      <c r="B8" s="28" t="s">
        <v>45</v>
      </c>
      <c r="C8" s="28"/>
      <c r="D8" s="28"/>
      <c r="E8" s="56">
        <v>0</v>
      </c>
    </row>
    <row r="9" spans="2:11" x14ac:dyDescent="0.25">
      <c r="B9" s="33" t="s">
        <v>47</v>
      </c>
      <c r="C9" s="33"/>
      <c r="D9" s="33"/>
      <c r="E9" s="57">
        <v>0.75</v>
      </c>
      <c r="G9" s="62" t="s">
        <v>98</v>
      </c>
      <c r="H9" s="59"/>
      <c r="I9" s="59"/>
      <c r="J9" s="59"/>
      <c r="K9" s="59"/>
    </row>
    <row r="10" spans="2:11" ht="26.25" x14ac:dyDescent="0.45">
      <c r="B10" s="28" t="s">
        <v>92</v>
      </c>
      <c r="C10" s="28"/>
      <c r="D10" s="28"/>
      <c r="E10" s="56">
        <v>0.14199999999999999</v>
      </c>
      <c r="G10" s="63" t="s">
        <v>24</v>
      </c>
      <c r="H10" s="59"/>
      <c r="I10" s="59"/>
      <c r="J10" s="59"/>
      <c r="K10" s="59"/>
    </row>
    <row r="11" spans="2:11" x14ac:dyDescent="0.25">
      <c r="B11" s="33" t="s">
        <v>93</v>
      </c>
      <c r="C11" s="33"/>
      <c r="D11" s="33"/>
      <c r="E11" s="57">
        <v>2.9000000000000001E-2</v>
      </c>
      <c r="G11" s="61" t="s">
        <v>99</v>
      </c>
      <c r="H11" s="59"/>
      <c r="I11" s="59"/>
      <c r="J11" s="59"/>
      <c r="K11" s="59"/>
    </row>
    <row r="12" spans="2:11" x14ac:dyDescent="0.25">
      <c r="B12" s="28" t="s">
        <v>94</v>
      </c>
      <c r="C12" s="28"/>
      <c r="D12" s="28"/>
      <c r="E12" s="56">
        <v>0.11600000000000001</v>
      </c>
    </row>
    <row r="13" spans="2:11" x14ac:dyDescent="0.25">
      <c r="G13" s="64" t="s">
        <v>100</v>
      </c>
      <c r="H13" s="23"/>
      <c r="I13" s="23"/>
      <c r="J13" s="23"/>
      <c r="K13" s="23"/>
    </row>
    <row r="14" spans="2:11" ht="26.1" customHeight="1" x14ac:dyDescent="0.25">
      <c r="G14" s="65" t="s">
        <v>101</v>
      </c>
      <c r="H14" s="66"/>
      <c r="I14" s="66"/>
      <c r="J14" s="66"/>
      <c r="K14" s="66"/>
    </row>
    <row r="15" spans="2:11" ht="26.1" customHeight="1" x14ac:dyDescent="0.25">
      <c r="G15" s="65" t="s">
        <v>102</v>
      </c>
      <c r="H15" s="66"/>
      <c r="I15" s="66"/>
      <c r="J15" s="66"/>
      <c r="K15" s="66"/>
    </row>
    <row r="16" spans="2:11" ht="26.1" customHeight="1" x14ac:dyDescent="0.25">
      <c r="G16" s="65" t="s">
        <v>103</v>
      </c>
      <c r="H16" s="66"/>
      <c r="I16" s="66"/>
      <c r="J16" s="66"/>
      <c r="K16" s="66"/>
    </row>
    <row r="17" spans="7:11" ht="26.1" customHeight="1" x14ac:dyDescent="0.25">
      <c r="G17" s="65" t="s">
        <v>104</v>
      </c>
      <c r="H17" s="66"/>
      <c r="I17" s="66"/>
      <c r="J17" s="66"/>
      <c r="K17" s="66"/>
    </row>
  </sheetData>
  <mergeCells count="21">
    <mergeCell ref="G13:K13"/>
    <mergeCell ref="G14:K14"/>
    <mergeCell ref="G15:K15"/>
    <mergeCell ref="G16:K16"/>
    <mergeCell ref="G17:K17"/>
    <mergeCell ref="B9:D9"/>
    <mergeCell ref="B10:D10"/>
    <mergeCell ref="B11:D11"/>
    <mergeCell ref="B12:D12"/>
    <mergeCell ref="G5:K5"/>
    <mergeCell ref="G6:K6"/>
    <mergeCell ref="G7:K7"/>
    <mergeCell ref="G9:K9"/>
    <mergeCell ref="G10:K10"/>
    <mergeCell ref="G11:K11"/>
    <mergeCell ref="B2:K2"/>
    <mergeCell ref="B3:K3"/>
    <mergeCell ref="B5:E5"/>
    <mergeCell ref="B6:D6"/>
    <mergeCell ref="B7:D7"/>
    <mergeCell ref="B8:D8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det_execucao_orcamentaria</vt:lpstr>
      <vt:lpstr>Slide 2 - Saude do Projeto</vt:lpstr>
      <vt:lpstr>Slide 3 - Desembolso e Contas</vt:lpstr>
      <vt:lpstr>Slide 4 - Analise e Atencao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INOVA</dc:creator>
  <cp:lastModifiedBy>Geziel Sena Colares</cp:lastModifiedBy>
  <dcterms:created xsi:type="dcterms:W3CDTF">2015-06-05T18:19:34Z</dcterms:created>
  <dcterms:modified xsi:type="dcterms:W3CDTF">2026-10-07T01:15:05Z</dcterms:modified>
</cp:coreProperties>
</file>