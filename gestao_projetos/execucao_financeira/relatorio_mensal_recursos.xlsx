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ARGUS\gestao_projetos\execucao_financeira\"/>
    </mc:Choice>
  </mc:AlternateContent>
  <xr:revisionPtr revIDLastSave="0" documentId="13_ncr:1_{8F0285D3-466E-4B9B-8233-A52BE0D137C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et_execucao_orcamentaria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4" i="1" l="1"/>
  <c r="F13" i="1"/>
  <c r="F12" i="1"/>
  <c r="F11" i="1"/>
  <c r="F10" i="1"/>
  <c r="F9" i="1"/>
  <c r="F8" i="1"/>
  <c r="F7" i="1"/>
  <c r="F2" i="1"/>
  <c r="F3" i="1"/>
  <c r="E13" i="1"/>
  <c r="B5" i="1"/>
  <c r="F5" i="1" s="1"/>
  <c r="D14" i="1"/>
  <c r="D13" i="1"/>
  <c r="D12" i="1"/>
  <c r="D11" i="1"/>
  <c r="D10" i="1"/>
  <c r="D9" i="1"/>
  <c r="D7" i="1"/>
  <c r="D6" i="1"/>
  <c r="D5" i="1"/>
  <c r="D4" i="1"/>
  <c r="D3" i="1"/>
  <c r="D2" i="1"/>
  <c r="D8" i="1"/>
  <c r="D15" i="1" l="1"/>
  <c r="B14" i="1"/>
  <c r="B12" i="1"/>
  <c r="B10" i="1"/>
  <c r="B9" i="1"/>
  <c r="B7" i="1"/>
  <c r="B6" i="1"/>
  <c r="B4" i="1"/>
  <c r="B3" i="1"/>
  <c r="B2" i="1"/>
  <c r="E11" i="1"/>
  <c r="E3" i="1"/>
  <c r="E14" i="1" l="1"/>
  <c r="E10" i="1"/>
  <c r="E12" i="1"/>
  <c r="B15" i="1"/>
  <c r="E5" i="1"/>
  <c r="E6" i="1"/>
  <c r="F6" i="1"/>
  <c r="E9" i="1"/>
  <c r="E4" i="1"/>
  <c r="F4" i="1"/>
  <c r="E7" i="1"/>
  <c r="E8" i="1"/>
  <c r="E2" i="1"/>
  <c r="G12" i="1" l="1"/>
  <c r="G13" i="1"/>
  <c r="G14" i="1"/>
  <c r="G9" i="1"/>
  <c r="G10" i="1"/>
  <c r="G3" i="1"/>
  <c r="G4" i="1"/>
  <c r="G5" i="1"/>
  <c r="G6" i="1"/>
  <c r="G11" i="1"/>
  <c r="G7" i="1"/>
  <c r="G2" i="1"/>
  <c r="E15" i="1"/>
  <c r="G15" i="1" l="1"/>
</calcChain>
</file>

<file path=xl/sharedStrings.xml><?xml version="1.0" encoding="utf-8"?>
<sst xmlns="http://schemas.openxmlformats.org/spreadsheetml/2006/main" count="21" uniqueCount="21">
  <si>
    <t>Rubrica</t>
  </si>
  <si>
    <t>Previsto</t>
  </si>
  <si>
    <t>Executado</t>
  </si>
  <si>
    <t>Disponível</t>
  </si>
  <si>
    <t>I - Programa de Computador e Equipamento</t>
  </si>
  <si>
    <t>III - RH Direto</t>
  </si>
  <si>
    <t>III - RH Indireto</t>
  </si>
  <si>
    <t>VI - Outros Dispêndios Correlatos</t>
  </si>
  <si>
    <t>II - Modernização de Infraestrutura</t>
  </si>
  <si>
    <t>IV - Serviços Técnicos de Terceiros</t>
  </si>
  <si>
    <t>V - Materiais de Consumo (Protótipo)</t>
  </si>
  <si>
    <t>ISS</t>
  </si>
  <si>
    <t>Outros Correlatos (Computação em Nuvem)</t>
  </si>
  <si>
    <t>Despesas de Suporte Operacional</t>
  </si>
  <si>
    <t>DOA (FAEPI)</t>
  </si>
  <si>
    <t>Fundo de Reserva (IFAM)</t>
  </si>
  <si>
    <t>Tarifas Bancárias</t>
  </si>
  <si>
    <t>Total</t>
  </si>
  <si>
    <t>%execucao_geral</t>
  </si>
  <si>
    <t>%execucao_item</t>
  </si>
  <si>
    <t>%Previsto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</si>
</sst>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left" vertical="center" indent="1"/>
    </xf>
    <xf numFmtId="0" fontId="2" fillId="0" borderId="0" xfId="0" applyFont="1" applyAlignment="1">
      <alignment horizontal="left" vertical="center" indent="2"/>
    </xf>
    <xf numFmtId="0" fontId="0" fillId="0" borderId="0" xfId="0" applyAlignment="1">
      <alignment horizontal="left" vertical="center" indent="4"/>
    </xf>
    <xf numFmtId="44" fontId="0" fillId="0" borderId="0" xfId="1" applyFon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9" fontId="0" fillId="0" borderId="0" xfId="1" applyNumberFormat="1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16">
    <dxf>
      <numFmt numFmtId="14" formatCode="0.0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alignment horizontal="left" vertical="center" textRotation="0" wrapText="0" indent="2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2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%</a:t>
            </a:r>
            <a:r>
              <a:rPr lang="pt-BR" baseline="0"/>
              <a:t> Execução por Rubrica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det_execucao_orcamentaria!$C$1</c:f>
              <c:strCache>
                <c:ptCount val="1"/>
                <c:pt idx="0">
                  <c:v>%Previsto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(det_execucao_orcamentaria!$A$2:$A$7,det_execucao_orcamentaria!$A$9:$A$14)</c:f>
              <c:strCache>
                <c:ptCount val="12"/>
                <c:pt idx="0">
                  <c:v>I - Programa de Computador e Equipamento</c:v>
                </c:pt>
                <c:pt idx="1">
                  <c:v>II - Modernização de Infraestrutura</c:v>
                </c:pt>
                <c:pt idx="2">
                  <c:v>III - RH Direto</c:v>
                </c:pt>
                <c:pt idx="3">
                  <c:v>III - RH Indireto</c:v>
                </c:pt>
                <c:pt idx="4">
                  <c:v>IV - Serviços Técnicos de Terceiros</c:v>
                </c:pt>
                <c:pt idx="5">
                  <c:v>V - Materiais de Consumo (Protótipo)</c:v>
                </c:pt>
                <c:pt idx="6">
                  <c:v>DOA (FAEPI)</c:v>
                </c:pt>
                <c:pt idx="7">
                  <c:v>Fundo de Reserva (IFAM)</c:v>
                </c:pt>
                <c:pt idx="8">
                  <c:v>ISS</c:v>
                </c:pt>
                <c:pt idx="9">
                  <c:v>Outros Correlatos (Computação em Nuvem)</c:v>
                </c:pt>
                <c:pt idx="10">
                  <c:v>Despesas de Suporte Operacional</c:v>
                </c:pt>
                <c:pt idx="11">
                  <c:v>Tarifas Bancárias</c:v>
                </c:pt>
              </c:strCache>
            </c:strRef>
          </c:cat>
          <c:val>
            <c:numRef>
              <c:f>(det_execucao_orcamentaria!$C$2:$C$7,det_execucao_orcamentaria!$C$9:$C$14)</c:f>
              <c:numCache>
                <c:formatCode>0%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97-4573-B953-7B60E575282C}"/>
            </c:ext>
          </c:extLst>
        </c:ser>
        <c:ser>
          <c:idx val="2"/>
          <c:order val="1"/>
          <c:tx>
            <c:strRef>
              <c:f>det_execucao_orcamentaria!$F$1</c:f>
              <c:strCache>
                <c:ptCount val="1"/>
                <c:pt idx="0">
                  <c:v>%execucao_item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(det_execucao_orcamentaria!$A$2:$A$7,det_execucao_orcamentaria!$A$9:$A$14)</c:f>
              <c:strCache>
                <c:ptCount val="12"/>
                <c:pt idx="0">
                  <c:v>I - Programa de Computador e Equipamento</c:v>
                </c:pt>
                <c:pt idx="1">
                  <c:v>II - Modernização de Infraestrutura</c:v>
                </c:pt>
                <c:pt idx="2">
                  <c:v>III - RH Direto</c:v>
                </c:pt>
                <c:pt idx="3">
                  <c:v>III - RH Indireto</c:v>
                </c:pt>
                <c:pt idx="4">
                  <c:v>IV - Serviços Técnicos de Terceiros</c:v>
                </c:pt>
                <c:pt idx="5">
                  <c:v>V - Materiais de Consumo (Protótipo)</c:v>
                </c:pt>
                <c:pt idx="6">
                  <c:v>DOA (FAEPI)</c:v>
                </c:pt>
                <c:pt idx="7">
                  <c:v>Fundo de Reserva (IFAM)</c:v>
                </c:pt>
                <c:pt idx="8">
                  <c:v>ISS</c:v>
                </c:pt>
                <c:pt idx="9">
                  <c:v>Outros Correlatos (Computação em Nuvem)</c:v>
                </c:pt>
                <c:pt idx="10">
                  <c:v>Despesas de Suporte Operacional</c:v>
                </c:pt>
                <c:pt idx="11">
                  <c:v>Tarifas Bancárias</c:v>
                </c:pt>
              </c:strCache>
            </c:strRef>
          </c:cat>
          <c:val>
            <c:numRef>
              <c:f>(det_execucao_orcamentaria!$F$2:$F$7,det_execucao_orcamentaria!$F$9:$F$14)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0.29312227074235808</c:v>
                </c:pt>
                <c:pt idx="3">
                  <c:v>0.375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97-4573-B953-7B60E57528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902912"/>
        <c:axId val="1467891872"/>
      </c:radarChart>
      <c:catAx>
        <c:axId val="1467902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67891872"/>
        <c:crosses val="autoZero"/>
        <c:auto val="1"/>
        <c:lblAlgn val="ctr"/>
        <c:lblOffset val="100"/>
        <c:noMultiLvlLbl val="0"/>
      </c:catAx>
      <c:valAx>
        <c:axId val="1467891872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1467902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537881</xdr:colOff>
      <xdr:row>2</xdr:row>
      <xdr:rowOff>112058</xdr:rowOff>
    </xdr:from>
    <xdr:to>
      <xdr:col>12</xdr:col>
      <xdr:colOff>1064558</xdr:colOff>
      <xdr:row>32</xdr:row>
      <xdr:rowOff>22412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15A16056-B373-AB54-64D4-B13CC294F9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ARGUS\gestao_projetos\execucao_financeira\execucao_orcamentaria.xlsx" TargetMode="External"/><Relationship Id="rId1" Type="http://schemas.openxmlformats.org/officeDocument/2006/relationships/externalLinkPath" Target="execucao_orcamentari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ARGUS\gestao_projetos\execucao_financeira\DISPE&#770;NDIOS%20-%20CV_002-2026%20-%20BIO%20CAROCO%202026.xlsx" TargetMode="External"/><Relationship Id="rId1" Type="http://schemas.openxmlformats.org/officeDocument/2006/relationships/externalLinkPath" Target="DISPE&#770;NDIOS%20-%20CV_002-2026%20-%20BIO%20CAROC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camento_empresa"/>
      <sheetName val="orcamento_embrabii"/>
      <sheetName val="orcamento_sebrae"/>
      <sheetName val="orcamento_biocaroco"/>
    </sheetNames>
    <sheetDataSet>
      <sheetData sheetId="0"/>
      <sheetData sheetId="1"/>
      <sheetData sheetId="2"/>
      <sheetData sheetId="3">
        <row r="4">
          <cell r="B4">
            <v>0</v>
          </cell>
        </row>
        <row r="5">
          <cell r="B5">
            <v>0</v>
          </cell>
        </row>
        <row r="6">
          <cell r="B6">
            <v>458000</v>
          </cell>
        </row>
        <row r="8">
          <cell r="B8">
            <v>8937</v>
          </cell>
        </row>
        <row r="9">
          <cell r="B9">
            <v>0</v>
          </cell>
        </row>
        <row r="13">
          <cell r="B13">
            <v>22400</v>
          </cell>
        </row>
        <row r="14">
          <cell r="B14">
            <v>1000</v>
          </cell>
        </row>
        <row r="16">
          <cell r="B16">
            <v>900</v>
          </cell>
        </row>
        <row r="18">
          <cell r="B18">
            <v>60883</v>
          </cell>
        </row>
        <row r="19">
          <cell r="B19">
            <v>11380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ISPENDIO Geral Empresa"/>
      <sheetName val="Fluxo de Caixa"/>
      <sheetName val="Cronograma Desembolso"/>
      <sheetName val="Pagamento RH"/>
      <sheetName val="Controle - Remanejamento"/>
    </sheetNames>
    <sheetDataSet>
      <sheetData sheetId="0"/>
      <sheetData sheetId="1" refreshError="1"/>
      <sheetData sheetId="2">
        <row r="4">
          <cell r="E4">
            <v>0</v>
          </cell>
        </row>
        <row r="5">
          <cell r="E5">
            <v>0</v>
          </cell>
        </row>
        <row r="6">
          <cell r="E6">
            <v>134250</v>
          </cell>
        </row>
        <row r="19">
          <cell r="E19">
            <v>8400</v>
          </cell>
        </row>
        <row r="21">
          <cell r="E21">
            <v>0</v>
          </cell>
        </row>
        <row r="24">
          <cell r="E24">
            <v>0</v>
          </cell>
        </row>
        <row r="28">
          <cell r="E28">
            <v>0</v>
          </cell>
        </row>
        <row r="29">
          <cell r="E29">
            <v>0</v>
          </cell>
        </row>
        <row r="30">
          <cell r="E30">
            <v>0</v>
          </cell>
        </row>
        <row r="31">
          <cell r="E31">
            <v>0</v>
          </cell>
        </row>
        <row r="32">
          <cell r="E32">
            <v>0</v>
          </cell>
        </row>
        <row r="33">
          <cell r="E33">
            <v>0</v>
          </cell>
        </row>
      </sheetData>
      <sheetData sheetId="3" refreshError="1"/>
      <sheetData sheetId="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E7327E-8C00-4373-B27E-01D469115BE9}" name="det_execucao_orcamentaria" displayName="det_execucao_orcamentaria" ref="A1:G15" totalsRowCount="1" headerRowDxfId="14" dataDxfId="15">
  <autoFilter ref="A1:G14" xr:uid="{A1E7327E-8C00-4373-B27E-01D469115BE9}"/>
  <tableColumns count="7">
    <tableColumn id="1" xr3:uid="{7439D715-5CDD-4F38-B2EA-0FE0B4DF4F8C}" name="Rubrica" totalsRowLabel="Total" dataDxfId="12" totalsRowDxfId="6"/>
    <tableColumn id="2" xr3:uid="{93BF2F5C-62F0-4B9D-BBD9-CC2696EDB946}" name="Previsto" totalsRowFunction="sum" dataDxfId="11" totalsRowDxfId="5" dataCellStyle="Moeda"/>
    <tableColumn id="8" xr3:uid="{864651BE-3F1F-4547-80D6-64F66C7D99C1}" name="%Previsto" dataDxfId="10" totalsRowDxfId="4" dataCellStyle="Moeda"/>
    <tableColumn id="3" xr3:uid="{31506921-43AE-4DA8-A1F2-EAD1B19ED4EA}" name="Executado" totalsRowFunction="sum" dataDxfId="13" totalsRowDxfId="3" dataCellStyle="Moeda">
      <calculatedColumnFormula>'[2]Cronograma Desembolso'!$E$5</calculatedColumnFormula>
    </tableColumn>
    <tableColumn id="4" xr3:uid="{0441782E-2B8B-4127-8A1A-2245A1B11DD9}" name="Disponível" totalsRowFunction="sum" dataDxfId="9" totalsRowDxfId="2" dataCellStyle="Moeda">
      <calculatedColumnFormula>det_execucao_orcamentaria[[#This Row],[Previsto]]-det_execucao_orcamentaria[[#This Row],[Executado]]</calculatedColumnFormula>
    </tableColumn>
    <tableColumn id="5" xr3:uid="{6907C160-B7A1-4754-A7D0-3F537F3AB54A}" name="%execucao_item" dataDxfId="7" totalsRowDxfId="1" dataCellStyle="Porcentagem">
      <calculatedColumnFormula>IF(det_execucao_orcamentaria[[#This Row],[Previsto]]=0,"",det_execucao_orcamentaria[[#This Row],[Executado]]/det_execucao_orcamentaria[[#This Row],[Previsto]])</calculatedColumnFormula>
    </tableColumn>
    <tableColumn id="6" xr3:uid="{FE040403-9E54-4FC7-86E3-84C26CB4212E}" name="%execucao_geral" totalsRowFunction="sum" dataDxfId="8" totalsRowDxfId="0" dataCellStyle="Porcentagem">
      <calculatedColumnFormula>det_execucao_orcamentaria[[#This Row],[Executado]]/det_execucao_orcamentaria[[#Totals],[Previsto]]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5"/>
  <sheetViews>
    <sheetView showGridLines="0" tabSelected="1" zoomScale="85" zoomScaleNormal="85" workbookViewId="0">
      <selection activeCell="N6" sqref="N6"/>
    </sheetView>
  </sheetViews>
  <sheetFormatPr defaultColWidth="20.7109375" defaultRowHeight="15" x14ac:dyDescent="0.25"/>
  <cols>
    <col min="1" max="1" width="45.85546875" style="2" bestFit="1" customWidth="1"/>
    <col min="2" max="2" width="14.28515625" style="1" bestFit="1" customWidth="1"/>
    <col min="3" max="3" width="14.28515625" style="1" customWidth="1"/>
    <col min="4" max="4" width="14.7109375" style="1" bestFit="1" customWidth="1"/>
    <col min="5" max="5" width="15" style="1" bestFit="1" customWidth="1"/>
    <col min="6" max="6" width="20.7109375" style="1"/>
    <col min="7" max="7" width="21" bestFit="1" customWidth="1"/>
  </cols>
  <sheetData>
    <row r="1" spans="1:7" x14ac:dyDescent="0.25">
      <c r="A1" s="3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19</v>
      </c>
      <c r="G1" s="1" t="s">
        <v>18</v>
      </c>
    </row>
    <row r="2" spans="1:7" x14ac:dyDescent="0.25">
      <c r="A2" s="4" t="s">
        <v>4</v>
      </c>
      <c r="B2" s="6">
        <f>[1]orcamento_biocaroco!$B$4</f>
        <v>0</v>
      </c>
      <c r="C2" s="11">
        <v>1</v>
      </c>
      <c r="D2" s="6">
        <f>'[2]Cronograma Desembolso'!$E$4</f>
        <v>0</v>
      </c>
      <c r="E2" s="6">
        <f>det_execucao_orcamentaria[[#This Row],[Previsto]]-det_execucao_orcamentaria[[#This Row],[Executado]]</f>
        <v>0</v>
      </c>
      <c r="F2" s="9">
        <f>IF(det_execucao_orcamentaria[[#This Row],[Previsto]]=0,0,det_execucao_orcamentaria[[#This Row],[Executado]]/det_execucao_orcamentaria[[#This Row],[Previsto]])</f>
        <v>0</v>
      </c>
      <c r="G2" s="9">
        <f>det_execucao_orcamentaria[[#This Row],[Executado]]/det_execucao_orcamentaria[[#Totals],[Previsto]]</f>
        <v>0</v>
      </c>
    </row>
    <row r="3" spans="1:7" x14ac:dyDescent="0.25">
      <c r="A3" s="4" t="s">
        <v>8</v>
      </c>
      <c r="B3" s="6">
        <f>[1]orcamento_biocaroco!$B$5</f>
        <v>0</v>
      </c>
      <c r="C3" s="11">
        <v>1</v>
      </c>
      <c r="D3" s="6">
        <f>'[2]Cronograma Desembolso'!$E$5</f>
        <v>0</v>
      </c>
      <c r="E3" s="6">
        <f>det_execucao_orcamentaria[[#This Row],[Previsto]]-det_execucao_orcamentaria[[#This Row],[Executado]]</f>
        <v>0</v>
      </c>
      <c r="F3" s="9">
        <f>IF(det_execucao_orcamentaria[[#This Row],[Previsto]]=0,0,det_execucao_orcamentaria[[#This Row],[Executado]]/det_execucao_orcamentaria[[#This Row],[Previsto]])</f>
        <v>0</v>
      </c>
      <c r="G3" s="9">
        <f>det_execucao_orcamentaria[[#This Row],[Executado]]/det_execucao_orcamentaria[[#Totals],[Previsto]]</f>
        <v>0</v>
      </c>
    </row>
    <row r="4" spans="1:7" x14ac:dyDescent="0.25">
      <c r="A4" s="4" t="s">
        <v>5</v>
      </c>
      <c r="B4" s="6">
        <f>[1]orcamento_biocaroco!$B$6</f>
        <v>458000</v>
      </c>
      <c r="C4" s="11">
        <v>1</v>
      </c>
      <c r="D4" s="6">
        <f>'[2]Cronograma Desembolso'!$E$6</f>
        <v>134250</v>
      </c>
      <c r="E4" s="6">
        <f>det_execucao_orcamentaria[[#This Row],[Previsto]]-det_execucao_orcamentaria[[#This Row],[Executado]]</f>
        <v>323750</v>
      </c>
      <c r="F4" s="9">
        <f>IF(det_execucao_orcamentaria[[#This Row],[Previsto]]=0,"",det_execucao_orcamentaria[[#This Row],[Executado]]/det_execucao_orcamentaria[[#This Row],[Previsto]])</f>
        <v>0.29312227074235808</v>
      </c>
      <c r="G4" s="9">
        <f>det_execucao_orcamentaria[[#This Row],[Executado]]/det_execucao_orcamentaria[[#Totals],[Previsto]]</f>
        <v>0.23594024604569419</v>
      </c>
    </row>
    <row r="5" spans="1:7" x14ac:dyDescent="0.25">
      <c r="A5" s="4" t="s">
        <v>6</v>
      </c>
      <c r="B5" s="6">
        <f>[1]orcamento_biocaroco!$B$13</f>
        <v>22400</v>
      </c>
      <c r="C5" s="11">
        <v>1</v>
      </c>
      <c r="D5" s="6">
        <f>'[2]Cronograma Desembolso'!$E$19</f>
        <v>8400</v>
      </c>
      <c r="E5" s="6">
        <f>det_execucao_orcamentaria[[#This Row],[Previsto]]-det_execucao_orcamentaria[[#This Row],[Executado]]</f>
        <v>14000</v>
      </c>
      <c r="F5" s="9">
        <f>IF(det_execucao_orcamentaria[[#This Row],[Previsto]]=0,"",det_execucao_orcamentaria[[#This Row],[Executado]]/det_execucao_orcamentaria[[#This Row],[Previsto]])</f>
        <v>0.375</v>
      </c>
      <c r="G5" s="9">
        <f>det_execucao_orcamentaria[[#This Row],[Executado]]/det_execucao_orcamentaria[[#Totals],[Previsto]]</f>
        <v>1.4762741652021089E-2</v>
      </c>
    </row>
    <row r="6" spans="1:7" x14ac:dyDescent="0.25">
      <c r="A6" s="4" t="s">
        <v>9</v>
      </c>
      <c r="B6" s="6">
        <f>[1]orcamento_biocaroco!$B$8</f>
        <v>8937</v>
      </c>
      <c r="C6" s="11">
        <v>1</v>
      </c>
      <c r="D6" s="6">
        <f>'[2]Cronograma Desembolso'!$E$21</f>
        <v>0</v>
      </c>
      <c r="E6" s="6">
        <f>det_execucao_orcamentaria[[#This Row],[Previsto]]-det_execucao_orcamentaria[[#This Row],[Executado]]</f>
        <v>8937</v>
      </c>
      <c r="F6" s="9">
        <f>IF(det_execucao_orcamentaria[[#This Row],[Previsto]]=0,"",det_execucao_orcamentaria[[#This Row],[Executado]]/det_execucao_orcamentaria[[#This Row],[Previsto]])</f>
        <v>0</v>
      </c>
      <c r="G6" s="9">
        <f>det_execucao_orcamentaria[[#This Row],[Executado]]/det_execucao_orcamentaria[[#Totals],[Previsto]]</f>
        <v>0</v>
      </c>
    </row>
    <row r="7" spans="1:7" x14ac:dyDescent="0.25">
      <c r="A7" s="4" t="s">
        <v>10</v>
      </c>
      <c r="B7" s="6">
        <f>[1]orcamento_biocaroco!$B$9</f>
        <v>0</v>
      </c>
      <c r="C7" s="11">
        <v>1</v>
      </c>
      <c r="D7" s="6">
        <f>'[2]Cronograma Desembolso'!$E$24</f>
        <v>0</v>
      </c>
      <c r="E7" s="6">
        <f>det_execucao_orcamentaria[[#This Row],[Previsto]]-det_execucao_orcamentaria[[#This Row],[Executado]]</f>
        <v>0</v>
      </c>
      <c r="F7" s="9">
        <f>IF(det_execucao_orcamentaria[[#This Row],[Previsto]]=0,0,det_execucao_orcamentaria[[#This Row],[Executado]]/det_execucao_orcamentaria[[#This Row],[Previsto]])</f>
        <v>0</v>
      </c>
      <c r="G7" s="9">
        <f>det_execucao_orcamentaria[[#This Row],[Executado]]/det_execucao_orcamentaria[[#Totals],[Previsto]]</f>
        <v>0</v>
      </c>
    </row>
    <row r="8" spans="1:7" x14ac:dyDescent="0.25">
      <c r="A8" s="4" t="s">
        <v>7</v>
      </c>
      <c r="B8" s="6"/>
      <c r="C8" s="6"/>
      <c r="D8" s="6">
        <f>'[2]Cronograma Desembolso'!$E$5</f>
        <v>0</v>
      </c>
      <c r="E8" s="6">
        <f>det_execucao_orcamentaria[[#This Row],[Previsto]]-det_execucao_orcamentaria[[#This Row],[Executado]]</f>
        <v>0</v>
      </c>
      <c r="F8" s="9">
        <f>IF(det_execucao_orcamentaria[[#This Row],[Previsto]]=0,0,det_execucao_orcamentaria[[#This Row],[Executado]]/det_execucao_orcamentaria[[#This Row],[Previsto]])</f>
        <v>0</v>
      </c>
      <c r="G8" s="9"/>
    </row>
    <row r="9" spans="1:7" x14ac:dyDescent="0.25">
      <c r="A9" s="5" t="s">
        <v>14</v>
      </c>
      <c r="B9" s="6">
        <f>[1]orcamento_biocaroco!$B$18</f>
        <v>60883</v>
      </c>
      <c r="C9" s="11">
        <v>1</v>
      </c>
      <c r="D9" s="6">
        <f>'[2]Cronograma Desembolso'!$E$31</f>
        <v>0</v>
      </c>
      <c r="E9" s="6">
        <f>det_execucao_orcamentaria[[#This Row],[Previsto]]-det_execucao_orcamentaria[[#This Row],[Executado]]</f>
        <v>60883</v>
      </c>
      <c r="F9" s="9">
        <f>IF(det_execucao_orcamentaria[[#This Row],[Previsto]]=0,0,det_execucao_orcamentaria[[#This Row],[Executado]]/det_execucao_orcamentaria[[#This Row],[Previsto]])</f>
        <v>0</v>
      </c>
      <c r="G9" s="9">
        <f>det_execucao_orcamentaria[[#This Row],[Executado]]/det_execucao_orcamentaria[[#Totals],[Previsto]]</f>
        <v>0</v>
      </c>
    </row>
    <row r="10" spans="1:7" x14ac:dyDescent="0.25">
      <c r="A10" s="5" t="s">
        <v>15</v>
      </c>
      <c r="B10" s="6">
        <f>[1]orcamento_biocaroco!$B$19</f>
        <v>11380</v>
      </c>
      <c r="C10" s="11">
        <v>1</v>
      </c>
      <c r="D10" s="6">
        <f>'[2]Cronograma Desembolso'!$E$32</f>
        <v>0</v>
      </c>
      <c r="E10" s="6">
        <f>det_execucao_orcamentaria[[#This Row],[Previsto]]-det_execucao_orcamentaria[[#This Row],[Executado]]</f>
        <v>11380</v>
      </c>
      <c r="F10" s="9">
        <f>IF(det_execucao_orcamentaria[[#This Row],[Previsto]]=0,0,det_execucao_orcamentaria[[#This Row],[Executado]]/det_execucao_orcamentaria[[#This Row],[Previsto]])</f>
        <v>0</v>
      </c>
      <c r="G10" s="9">
        <f>det_execucao_orcamentaria[[#This Row],[Executado]]/det_execucao_orcamentaria[[#Totals],[Previsto]]</f>
        <v>0</v>
      </c>
    </row>
    <row r="11" spans="1:7" x14ac:dyDescent="0.25">
      <c r="A11" s="5" t="s">
        <v>11</v>
      </c>
      <c r="B11" s="6">
        <v>5500</v>
      </c>
      <c r="C11" s="11">
        <v>1</v>
      </c>
      <c r="D11" s="6">
        <f>'[2]Cronograma Desembolso'!$E$33</f>
        <v>0</v>
      </c>
      <c r="E11" s="6">
        <f>det_execucao_orcamentaria[[#This Row],[Previsto]]-det_execucao_orcamentaria[[#This Row],[Executado]]</f>
        <v>5500</v>
      </c>
      <c r="F11" s="9">
        <f>IF(det_execucao_orcamentaria[[#This Row],[Previsto]]=0,0,det_execucao_orcamentaria[[#This Row],[Executado]]/det_execucao_orcamentaria[[#This Row],[Previsto]])</f>
        <v>0</v>
      </c>
      <c r="G11" s="9">
        <f>det_execucao_orcamentaria[[#This Row],[Executado]]/det_execucao_orcamentaria[[#Totals],[Previsto]]</f>
        <v>0</v>
      </c>
    </row>
    <row r="12" spans="1:7" x14ac:dyDescent="0.25">
      <c r="A12" s="5" t="s">
        <v>12</v>
      </c>
      <c r="B12" s="6">
        <f>[1]orcamento_biocaroco!$B$16</f>
        <v>900</v>
      </c>
      <c r="C12" s="11">
        <v>1</v>
      </c>
      <c r="D12" s="6">
        <f>'[2]Cronograma Desembolso'!$E$30</f>
        <v>0</v>
      </c>
      <c r="E12" s="6">
        <f>det_execucao_orcamentaria[[#This Row],[Previsto]]-det_execucao_orcamentaria[[#This Row],[Executado]]</f>
        <v>900</v>
      </c>
      <c r="F12" s="9">
        <f>IF(det_execucao_orcamentaria[[#This Row],[Previsto]]=0,0,det_execucao_orcamentaria[[#This Row],[Executado]]/det_execucao_orcamentaria[[#This Row],[Previsto]])</f>
        <v>0</v>
      </c>
      <c r="G12" s="9">
        <f>det_execucao_orcamentaria[[#This Row],[Executado]]/det_execucao_orcamentaria[[#Totals],[Previsto]]</f>
        <v>0</v>
      </c>
    </row>
    <row r="13" spans="1:7" x14ac:dyDescent="0.25">
      <c r="A13" s="5" t="s">
        <v>13</v>
      </c>
      <c r="B13" s="6"/>
      <c r="C13" s="11">
        <v>1</v>
      </c>
      <c r="D13" s="6">
        <f>'[2]Cronograma Desembolso'!$E$29</f>
        <v>0</v>
      </c>
      <c r="E13" s="6">
        <f>det_execucao_orcamentaria[[#This Row],[Previsto]]-det_execucao_orcamentaria[[#This Row],[Executado]]</f>
        <v>0</v>
      </c>
      <c r="F13" s="9">
        <f>IF(det_execucao_orcamentaria[[#This Row],[Previsto]]=0,0,det_execucao_orcamentaria[[#This Row],[Executado]]/det_execucao_orcamentaria[[#This Row],[Previsto]])</f>
        <v>0</v>
      </c>
      <c r="G13" s="9">
        <f>det_execucao_orcamentaria[[#This Row],[Executado]]/det_execucao_orcamentaria[[#Totals],[Previsto]]</f>
        <v>0</v>
      </c>
    </row>
    <row r="14" spans="1:7" x14ac:dyDescent="0.25">
      <c r="A14" s="5" t="s">
        <v>16</v>
      </c>
      <c r="B14" s="6">
        <f>[1]orcamento_biocaroco!$B$14</f>
        <v>1000</v>
      </c>
      <c r="C14" s="11">
        <v>1</v>
      </c>
      <c r="D14" s="6">
        <f>'[2]Cronograma Desembolso'!$E$28</f>
        <v>0</v>
      </c>
      <c r="E14" s="6">
        <f>det_execucao_orcamentaria[[#This Row],[Previsto]]-det_execucao_orcamentaria[[#This Row],[Executado]]</f>
        <v>1000</v>
      </c>
      <c r="F14" s="9">
        <f>IF(det_execucao_orcamentaria[[#This Row],[Previsto]]=0,0,det_execucao_orcamentaria[[#This Row],[Executado]]/det_execucao_orcamentaria[[#This Row],[Previsto]])</f>
        <v>0</v>
      </c>
      <c r="G14" s="9">
        <f>det_execucao_orcamentaria[[#This Row],[Executado]]/det_execucao_orcamentaria[[#Totals],[Previsto]]</f>
        <v>0</v>
      </c>
    </row>
    <row r="15" spans="1:7" x14ac:dyDescent="0.25">
      <c r="A15" s="2" t="s">
        <v>17</v>
      </c>
      <c r="B15" s="8">
        <f>SUBTOTAL(109,det_execucao_orcamentaria[Previsto])</f>
        <v>569000</v>
      </c>
      <c r="C15" s="8"/>
      <c r="D15" s="8">
        <f>SUBTOTAL(109,det_execucao_orcamentaria[Executado])</f>
        <v>142650</v>
      </c>
      <c r="E15" s="8">
        <f>SUBTOTAL(109,det_execucao_orcamentaria[Disponível])</f>
        <v>426350</v>
      </c>
      <c r="F15" s="7"/>
      <c r="G15" s="10">
        <f>SUBTOTAL(109,det_execucao_orcamentaria[%execucao_geral])</f>
        <v>0.25070298769771526</v>
      </c>
    </row>
  </sheetData>
  <pageMargins left="0.7" right="0.7" top="0.75" bottom="0.75" header="0.3" footer="0.3"/>
  <ignoredErrors>
    <ignoredError sqref="D2:D14 F2:F3 F7:F14" calculatedColumn="1"/>
  </ignoredErrors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det_execucao_orcamentaria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INOVA</dc:creator>
  <cp:lastModifiedBy>Geziel Sena Colares</cp:lastModifiedBy>
  <dcterms:created xsi:type="dcterms:W3CDTF">2015-06-05T18:19:34Z</dcterms:created>
  <dcterms:modified xsi:type="dcterms:W3CDTF">2026-10-06T23:51:16Z</dcterms:modified>
</cp:coreProperties>
</file>