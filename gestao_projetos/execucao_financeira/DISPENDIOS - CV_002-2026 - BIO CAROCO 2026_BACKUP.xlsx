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RGUS\gestao_projetos\execucao_financeira\"/>
    </mc:Choice>
  </mc:AlternateContent>
  <xr:revisionPtr revIDLastSave="0" documentId="13_ncr:1_{42F68D12-DA1D-4CDD-8137-52C982AD8847}" xr6:coauthVersionLast="47" xr6:coauthVersionMax="47" xr10:uidLastSave="{00000000-0000-0000-0000-000000000000}"/>
  <bookViews>
    <workbookView xWindow="-120" yWindow="-120" windowWidth="29040" windowHeight="15720" tabRatio="555" xr2:uid="{00000000-000D-0000-FFFF-FFFF00000000}"/>
  </bookViews>
  <sheets>
    <sheet name="DISPENDIO Geral Empresa" sheetId="1" r:id="rId1"/>
    <sheet name="Fluxo de Caixa" sheetId="2" r:id="rId2"/>
    <sheet name="Cronograma Desembolso" sheetId="3" r:id="rId3"/>
    <sheet name="Pagamento RH" sheetId="4" r:id="rId4"/>
    <sheet name="Controle - Remanejamen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cqojhkB3/dnSvRD9wGA/yzlAmoRxKvKjID7Fy/0cJwo="/>
    </ext>
  </extLst>
</workbook>
</file>

<file path=xl/calcChain.xml><?xml version="1.0" encoding="utf-8"?>
<calcChain xmlns="http://schemas.openxmlformats.org/spreadsheetml/2006/main">
  <c r="C15" i="2" l="1"/>
  <c r="C12" i="2"/>
  <c r="D6" i="3"/>
  <c r="D22" i="3"/>
  <c r="F12" i="5"/>
  <c r="B42" i="5"/>
  <c r="C41" i="5" s="1"/>
  <c r="B33" i="5"/>
  <c r="J12" i="5"/>
  <c r="J11" i="5"/>
  <c r="B11" i="5"/>
  <c r="B16" i="5" s="1"/>
  <c r="P28" i="4"/>
  <c r="O28" i="4"/>
  <c r="N28" i="4"/>
  <c r="L28" i="4"/>
  <c r="K28" i="4"/>
  <c r="J28" i="4"/>
  <c r="I28" i="4"/>
  <c r="H28" i="4"/>
  <c r="E28" i="4"/>
  <c r="Q27" i="4"/>
  <c r="F27" i="4"/>
  <c r="A27" i="4"/>
  <c r="Q26" i="4"/>
  <c r="F26" i="4"/>
  <c r="P22" i="4"/>
  <c r="O22" i="4"/>
  <c r="N22" i="4"/>
  <c r="M22" i="4"/>
  <c r="L22" i="4"/>
  <c r="K22" i="4"/>
  <c r="J22" i="4"/>
  <c r="I22" i="4"/>
  <c r="H22" i="4"/>
  <c r="E22" i="4"/>
  <c r="Q21" i="4"/>
  <c r="F21" i="4"/>
  <c r="R21" i="4" s="1"/>
  <c r="Q20" i="4"/>
  <c r="F20" i="4"/>
  <c r="R20" i="4" s="1"/>
  <c r="Q19" i="4"/>
  <c r="F19" i="4"/>
  <c r="R19" i="4" s="1"/>
  <c r="Q18" i="4"/>
  <c r="F18" i="4"/>
  <c r="Q17" i="4"/>
  <c r="F17" i="4"/>
  <c r="Q16" i="4"/>
  <c r="F16" i="4"/>
  <c r="Q15" i="4"/>
  <c r="F15" i="4"/>
  <c r="R15" i="4" s="1"/>
  <c r="Q14" i="4"/>
  <c r="F14" i="4"/>
  <c r="Q13" i="4"/>
  <c r="F13" i="4"/>
  <c r="Q12" i="4"/>
  <c r="F12" i="4"/>
  <c r="R12" i="4" s="1"/>
  <c r="Q11" i="4"/>
  <c r="F11" i="4"/>
  <c r="R11" i="4" s="1"/>
  <c r="Q10" i="4"/>
  <c r="F10" i="4"/>
  <c r="R10" i="4" s="1"/>
  <c r="Q9" i="4"/>
  <c r="F9" i="4"/>
  <c r="A9" i="4"/>
  <c r="A10" i="4" s="1"/>
  <c r="A11" i="4" s="1"/>
  <c r="A12" i="4" s="1"/>
  <c r="A13" i="4" s="1"/>
  <c r="A14" i="4" s="1"/>
  <c r="A15" i="4" s="1"/>
  <c r="A16" i="4" s="1"/>
  <c r="A17" i="4" s="1"/>
  <c r="Q8" i="4"/>
  <c r="F8" i="4"/>
  <c r="A8" i="4"/>
  <c r="Q7" i="4"/>
  <c r="F7" i="4"/>
  <c r="D70" i="3"/>
  <c r="E70" i="3" s="1"/>
  <c r="E69" i="3"/>
  <c r="F58" i="3"/>
  <c r="G58" i="3" s="1"/>
  <c r="F57" i="3"/>
  <c r="G57" i="3" s="1"/>
  <c r="F56" i="3"/>
  <c r="G56" i="3" s="1"/>
  <c r="F55" i="3"/>
  <c r="G55" i="3" s="1"/>
  <c r="F54" i="3"/>
  <c r="G54" i="3" s="1"/>
  <c r="F53" i="3"/>
  <c r="G53" i="3" s="1"/>
  <c r="F52" i="3"/>
  <c r="G52" i="3" s="1"/>
  <c r="F51" i="3"/>
  <c r="G51" i="3" s="1"/>
  <c r="D51" i="3"/>
  <c r="D59" i="3" s="1"/>
  <c r="F50" i="3"/>
  <c r="G50" i="3" s="1"/>
  <c r="E49" i="3"/>
  <c r="F49" i="3" s="1"/>
  <c r="E48" i="3"/>
  <c r="E47" i="3"/>
  <c r="F47" i="3" s="1"/>
  <c r="G47" i="3" s="1"/>
  <c r="F41" i="3"/>
  <c r="E41" i="3"/>
  <c r="D41" i="3"/>
  <c r="E8" i="3"/>
  <c r="D8" i="3"/>
  <c r="J20" i="2"/>
  <c r="J19" i="2"/>
  <c r="E18" i="2"/>
  <c r="D18" i="2"/>
  <c r="B18" i="2"/>
  <c r="J16" i="2"/>
  <c r="J15" i="2"/>
  <c r="J14" i="2"/>
  <c r="J13" i="2"/>
  <c r="B13" i="2"/>
  <c r="B12" i="2" s="1"/>
  <c r="E12" i="2"/>
  <c r="D12" i="2"/>
  <c r="E11" i="2"/>
  <c r="D11" i="2"/>
  <c r="B11" i="2"/>
  <c r="B17" i="2" s="1"/>
  <c r="J10" i="2"/>
  <c r="J9" i="2"/>
  <c r="J8" i="2"/>
  <c r="J7" i="2"/>
  <c r="J6" i="2"/>
  <c r="J5" i="2"/>
  <c r="B15" i="1"/>
  <c r="B21" i="1" s="1"/>
  <c r="F28" i="4" l="1"/>
  <c r="E67" i="3"/>
  <c r="L8" i="3"/>
  <c r="E68" i="3"/>
  <c r="E63" i="3"/>
  <c r="E64" i="3"/>
  <c r="E65" i="3"/>
  <c r="C27" i="5"/>
  <c r="C28" i="5"/>
  <c r="C29" i="5"/>
  <c r="C30" i="5"/>
  <c r="C33" i="5"/>
  <c r="C42" i="5" s="1"/>
  <c r="R27" i="4"/>
  <c r="R7" i="4"/>
  <c r="R16" i="4"/>
  <c r="R17" i="4"/>
  <c r="Q28" i="4"/>
  <c r="R18" i="4"/>
  <c r="R14" i="4"/>
  <c r="Q22" i="4"/>
  <c r="F22" i="4"/>
  <c r="R13" i="4"/>
  <c r="E17" i="2"/>
  <c r="J12" i="2"/>
  <c r="D17" i="2"/>
  <c r="D21" i="2" s="1"/>
  <c r="J11" i="2"/>
  <c r="B21" i="2"/>
  <c r="C11" i="2" s="1"/>
  <c r="B19" i="5"/>
  <c r="B21" i="5" s="1"/>
  <c r="B24" i="1"/>
  <c r="C16" i="1" s="1"/>
  <c r="R8" i="4"/>
  <c r="E59" i="3"/>
  <c r="C32" i="5"/>
  <c r="J18" i="2"/>
  <c r="E66" i="3"/>
  <c r="G49" i="3"/>
  <c r="R9" i="4"/>
  <c r="J16" i="5"/>
  <c r="R26" i="4"/>
  <c r="C35" i="5"/>
  <c r="C36" i="5"/>
  <c r="C37" i="5"/>
  <c r="C38" i="5"/>
  <c r="C31" i="5"/>
  <c r="C34" i="5"/>
  <c r="C39" i="5"/>
  <c r="C40" i="5"/>
  <c r="F11" i="5"/>
  <c r="F48" i="3"/>
  <c r="F59" i="3" s="1"/>
  <c r="E21" i="3" s="1"/>
  <c r="E22" i="3" s="1"/>
  <c r="G48" i="3" l="1"/>
  <c r="G59" i="3" s="1"/>
  <c r="R28" i="4"/>
  <c r="R22" i="4"/>
  <c r="J17" i="2"/>
  <c r="J21" i="2" s="1"/>
  <c r="K18" i="2" s="1"/>
  <c r="C17" i="2"/>
  <c r="C21" i="2" s="1"/>
  <c r="C21" i="1"/>
  <c r="C9" i="1"/>
  <c r="C18" i="1"/>
  <c r="C14" i="1"/>
  <c r="C23" i="1"/>
  <c r="C22" i="1"/>
  <c r="C15" i="1"/>
  <c r="C20" i="1"/>
  <c r="C19" i="1"/>
  <c r="C11" i="1"/>
  <c r="C17" i="1"/>
  <c r="C10" i="1"/>
  <c r="C13" i="1"/>
  <c r="C12" i="1"/>
  <c r="C5" i="2"/>
  <c r="C6" i="2"/>
  <c r="C16" i="2"/>
  <c r="C14" i="2"/>
  <c r="C19" i="2"/>
  <c r="C18" i="2"/>
  <c r="C20" i="2"/>
  <c r="C10" i="2"/>
  <c r="C9" i="2"/>
  <c r="C7" i="2"/>
  <c r="C8" i="2"/>
  <c r="C5" i="5"/>
  <c r="C15" i="5"/>
  <c r="C10" i="5"/>
  <c r="C14" i="5"/>
  <c r="C9" i="5"/>
  <c r="C13" i="5"/>
  <c r="C8" i="5"/>
  <c r="C18" i="5"/>
  <c r="C7" i="5"/>
  <c r="C17" i="5"/>
  <c r="C6" i="5"/>
  <c r="C16" i="5"/>
  <c r="J19" i="5"/>
  <c r="J21" i="5" s="1"/>
  <c r="K16" i="5" s="1"/>
  <c r="F16" i="5"/>
  <c r="C11" i="5"/>
  <c r="C12" i="5"/>
  <c r="C13" i="2"/>
  <c r="K17" i="2" l="1"/>
  <c r="K21" i="2" s="1"/>
  <c r="C24" i="1"/>
  <c r="C19" i="5"/>
  <c r="C21" i="5" s="1"/>
  <c r="K5" i="5"/>
  <c r="K11" i="5"/>
  <c r="K15" i="5"/>
  <c r="K10" i="5"/>
  <c r="K14" i="5"/>
  <c r="K9" i="5"/>
  <c r="K7" i="5"/>
  <c r="K17" i="5"/>
  <c r="K13" i="5"/>
  <c r="K8" i="5"/>
  <c r="K18" i="5"/>
  <c r="K6" i="5"/>
  <c r="K12" i="5"/>
  <c r="F19" i="5"/>
  <c r="F21" i="5" s="1"/>
  <c r="K6" i="2"/>
  <c r="K8" i="2"/>
  <c r="K20" i="2"/>
  <c r="K16" i="2"/>
  <c r="K14" i="2"/>
  <c r="K11" i="2"/>
  <c r="K5" i="2"/>
  <c r="K7" i="2"/>
  <c r="K19" i="2"/>
  <c r="K9" i="2"/>
  <c r="K10" i="2"/>
  <c r="K13" i="2"/>
  <c r="K19" i="5" l="1"/>
  <c r="K21" i="5" s="1"/>
  <c r="K12" i="2"/>
  <c r="G6" i="5"/>
  <c r="G15" i="5"/>
  <c r="G10" i="5"/>
  <c r="G14" i="5"/>
  <c r="G9" i="5"/>
  <c r="G18" i="5"/>
  <c r="G13" i="5"/>
  <c r="G8" i="5"/>
  <c r="G12" i="5"/>
  <c r="G7" i="5"/>
  <c r="G17" i="5"/>
  <c r="G5" i="5"/>
  <c r="G11" i="5"/>
  <c r="G16" i="5"/>
  <c r="G19" i="5" l="1"/>
  <c r="G2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ID#AAACHvcSEtQ
tc={b8438387-c99a-4a31-b5f6-c91b1682fa35}    (2026-09-29 14:29:19)
[Threaded comment]
 Your version of Excel allows you to read this threaded comment; however, any edits to it will get removed if the file is opened in a newer version of Excel. Learn more: https://go.microsoft.com/fwlink/?linkid=870924
Comment:
	Pagamento de bolsa p/ alunos e internet</t>
        </r>
      </text>
    </comment>
    <comment ref="A6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ID#AAACHvcYO8o
Diretoria Administrativa e Financeira do Polo CTHM    (2026-09-29 14:30:21)
Sempre colocar a data da última atualização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PZulsasA2hQLDgPHShRVBDi80Q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5" authorId="0" shapeId="0" xr:uid="{00000000-0006-0000-0200-000001000000}">
      <text>
        <r>
          <rPr>
            <sz val="11"/>
            <color theme="1"/>
            <rFont val="Calibri"/>
            <scheme val="minor"/>
          </rPr>
          <t>======
ID#AAACHvcYO8Y
tc={58ac5096-2b01-4eac-8ae0-f9eb9461f83b}    (2026-09-29 14:29:19)
[Threaded comment]
 Your version of Excel allows you to read this threaded comment; however, any edits to it will get removed if the file is opened in a newer version of Excel. Learn more: https://go.microsoft.com/fwlink/?linkid=870924
Comment:
	Termo aditivo - último pagamento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Aza3UPO2E1uYAL72LARLT6a41Q=="/>
    </ext>
  </extLst>
</comments>
</file>

<file path=xl/sharedStrings.xml><?xml version="1.0" encoding="utf-8"?>
<sst xmlns="http://schemas.openxmlformats.org/spreadsheetml/2006/main" count="309" uniqueCount="148">
  <si>
    <t>PLANEJAMENTO - FLUXO DE CAIXA DO PROJETO - EMPRESA</t>
  </si>
  <si>
    <t>PAGAMENTOS REALIZADOS - EMPRESA</t>
  </si>
  <si>
    <t>PLANILHA DE DESPÊNDIOS - CONFORME PLANO DE TRABALHO PROPOSTO</t>
  </si>
  <si>
    <t>DESEMBOLSO</t>
  </si>
  <si>
    <t xml:space="preserve">ITEM </t>
  </si>
  <si>
    <t xml:space="preserve">Colaborador </t>
  </si>
  <si>
    <t>Função</t>
  </si>
  <si>
    <t>Parcelas</t>
  </si>
  <si>
    <t>CRONOGRAMA DE DESEMBOLSO - Atual (EMPRESA)</t>
  </si>
  <si>
    <t>Valor da Bolsas</t>
  </si>
  <si>
    <t>Valor Total</t>
  </si>
  <si>
    <t>CH - Mensal</t>
  </si>
  <si>
    <t>CONTROLE - DISPÊNDIOS POR RECURSO</t>
  </si>
  <si>
    <t>Item</t>
  </si>
  <si>
    <t>Total Executado</t>
  </si>
  <si>
    <t>Valores Pagos</t>
  </si>
  <si>
    <t>Meses</t>
  </si>
  <si>
    <t>Saldo</t>
  </si>
  <si>
    <t>% Executado</t>
  </si>
  <si>
    <t>Parcela</t>
  </si>
  <si>
    <t>Previsto/Bruto</t>
  </si>
  <si>
    <t>Realizado/NF</t>
  </si>
  <si>
    <t>NF</t>
  </si>
  <si>
    <t>Data NF</t>
  </si>
  <si>
    <t>Unidade</t>
  </si>
  <si>
    <t>OBS</t>
  </si>
  <si>
    <t>Oficio</t>
  </si>
  <si>
    <t>Ano Base</t>
  </si>
  <si>
    <t>I - Equipamentos e/ou Materiais Permanentes</t>
  </si>
  <si>
    <t>única</t>
  </si>
  <si>
    <t>JULHO</t>
  </si>
  <si>
    <t>PLANO DE TRABALHO CONSOLIDADO
EMPRESA</t>
  </si>
  <si>
    <t>AGOSTO</t>
  </si>
  <si>
    <t>ANO BASE                      2026 (R$)</t>
  </si>
  <si>
    <t>DISPÊNDIOS</t>
  </si>
  <si>
    <t>2026 (%)</t>
  </si>
  <si>
    <t>VALOR (R$)</t>
  </si>
  <si>
    <t>%</t>
  </si>
  <si>
    <t>I - programas de computador, máquinas, equipamentos, aparelhos e instrumentos, seus acessórios, sobressalentes e ferramentas, e serviços de instalação dessas máquinas e equipamentos utilizados na execução do projeto;</t>
  </si>
  <si>
    <t>ANO BASE 2026</t>
  </si>
  <si>
    <t>I - programas de computador, máquinas, equipamentos, aparelhos e instrumentos, seus acessórios, e serviços de instalação dessas máquinas e equipamentos utilizados na execução do projeto;</t>
  </si>
  <si>
    <t>RH - DIRETO</t>
  </si>
  <si>
    <t>II - aquisição, implantação, ampliação ou modernização de infraestrutura física e de laboratórios de pesquisa, desenvolvimento e inovação e de ICTs;</t>
  </si>
  <si>
    <t>III - RH direto</t>
  </si>
  <si>
    <t>IV - RH indireto</t>
  </si>
  <si>
    <t>V - Serviços Técnicos de Terceiros;</t>
  </si>
  <si>
    <t>VI - Mat. Consumo</t>
  </si>
  <si>
    <t>Total Dispêndios (I a VI)</t>
  </si>
  <si>
    <t>VII - Outros dispêndios correlatos às atividades de pesquisa, desenvolvimento e inovação.</t>
  </si>
  <si>
    <t xml:space="preserve">Publicações e Treinamentos   </t>
  </si>
  <si>
    <t xml:space="preserve">IV - RH indireto </t>
  </si>
  <si>
    <t xml:space="preserve">Viagens e diárias </t>
  </si>
  <si>
    <t>ISS</t>
  </si>
  <si>
    <t>II- Implantação, ampliação ou modernização</t>
  </si>
  <si>
    <t>Outros(Aluguel, Internet, Telefonia, Impostos Etc)</t>
  </si>
  <si>
    <t>Total Dispêndios (I a VII)</t>
  </si>
  <si>
    <t>VI - Materiais de Consumo</t>
  </si>
  <si>
    <t>-</t>
  </si>
  <si>
    <t>DOA (Despesas operacionais e Administrativas)</t>
  </si>
  <si>
    <t>Constituição de Reserva</t>
  </si>
  <si>
    <t>TOTAL</t>
  </si>
  <si>
    <t>Treinamentos;</t>
  </si>
  <si>
    <t>Viagens;</t>
  </si>
  <si>
    <t>Outros (Aluguel, Internet, Telefonia, Impostos, etc.);</t>
  </si>
  <si>
    <t>Licença cloud code</t>
  </si>
  <si>
    <t>RH - INDIRETO</t>
  </si>
  <si>
    <t>VII -  Outros Correlatos (rateio de Aluguel, Internet, Telefonia)</t>
  </si>
  <si>
    <t>VII - Total DOAS e Fundo de Reserva</t>
  </si>
  <si>
    <t xml:space="preserve">    Treinamentos   </t>
  </si>
  <si>
    <t xml:space="preserve">    Viagens</t>
  </si>
  <si>
    <t xml:space="preserve">   Outros(Aluguel, Internet, Telefonia, Impostos Etc)</t>
  </si>
  <si>
    <t xml:space="preserve">    DOA (Despesas operacionais e Administrativas)</t>
  </si>
  <si>
    <t xml:space="preserve">    Constituição de Reserva</t>
  </si>
  <si>
    <t>Total</t>
  </si>
  <si>
    <t>DESEMBOLSO - EMBRAPII</t>
  </si>
  <si>
    <t>CRONOGRAMA DE DESEMBOLSO - Atual (EMBRAPII)</t>
  </si>
  <si>
    <t>Realizado/Bruto</t>
  </si>
  <si>
    <t>Rendimento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</si>
  <si>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</si>
  <si>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</si>
  <si>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</si>
  <si>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</si>
  <si>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</si>
  <si>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</si>
  <si>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</si>
  <si>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</si>
  <si>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</si>
  <si>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</si>
  <si>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</si>
  <si>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</si>
  <si>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DESEMBOLSO - EMPRESA</t>
  </si>
  <si>
    <t>Valor Líquido</t>
  </si>
  <si>
    <t>NFS-e</t>
  </si>
  <si>
    <t>Data Pagto</t>
  </si>
  <si>
    <t>01//12</t>
  </si>
  <si>
    <t>02//12</t>
  </si>
  <si>
    <t>03//12</t>
  </si>
  <si>
    <t>04//12</t>
  </si>
  <si>
    <t>05//12</t>
  </si>
  <si>
    <t>06//12</t>
  </si>
  <si>
    <t>07//12</t>
  </si>
  <si>
    <t>08//12</t>
  </si>
  <si>
    <t>09//12</t>
  </si>
  <si>
    <t>10//12</t>
  </si>
  <si>
    <t>11//12</t>
  </si>
  <si>
    <t>PREVISTO - ERRATA OFÍCIO 07/2026</t>
  </si>
  <si>
    <t>CONTROLE - DISPÊNDIOS</t>
  </si>
  <si>
    <t>II - Obras civis (aquisição, implantação, ampliação ou modernização de infraestrutura física e de laboratórios)</t>
  </si>
  <si>
    <t>III - RH diretos projeto</t>
  </si>
  <si>
    <t xml:space="preserve">III - RH indireto </t>
  </si>
  <si>
    <t>III - RH indireto do projeto</t>
  </si>
  <si>
    <t>IV - Serviços Técnicos de Terceiros;</t>
  </si>
  <si>
    <t>V - Materiais de Consumo</t>
  </si>
  <si>
    <t>V - Mat. Consumo</t>
  </si>
  <si>
    <t>Total Dispêndios (I a V)</t>
  </si>
  <si>
    <t>VI - Outros dispêndios correlatos às atividades de pesquisa, desenvolvimento e inovação.</t>
  </si>
  <si>
    <r>
      <rPr>
        <b/>
        <i/>
        <sz val="14"/>
        <color theme="1"/>
        <rFont val="Calibri"/>
      </rPr>
      <t xml:space="preserve">Total Dispêndios (I a VI) </t>
    </r>
    <r>
      <rPr>
        <b/>
        <i/>
        <sz val="14"/>
        <color rgb="FFFF0000"/>
        <rFont val="Calibri"/>
      </rPr>
      <t>sem ISS</t>
    </r>
  </si>
  <si>
    <r>
      <rPr>
        <b/>
        <i/>
        <sz val="14"/>
        <color theme="1"/>
        <rFont val="Calibri"/>
      </rPr>
      <t xml:space="preserve">Total Dispêndios (I a VI) </t>
    </r>
    <r>
      <rPr>
        <b/>
        <i/>
        <sz val="14"/>
        <color rgb="FFFF0000"/>
        <rFont val="Calibri"/>
      </rPr>
      <t>sem ISS</t>
    </r>
  </si>
  <si>
    <r>
      <rPr>
        <b/>
        <i/>
        <sz val="14"/>
        <color theme="1"/>
        <rFont val="Calibri"/>
      </rPr>
      <t xml:space="preserve">Total Dispêndios (I a VI) </t>
    </r>
    <r>
      <rPr>
        <b/>
        <i/>
        <sz val="14"/>
        <color rgb="FFFF0000"/>
        <rFont val="Calibri"/>
      </rPr>
      <t>sem ISS</t>
    </r>
  </si>
  <si>
    <t>TOTAL sem ISS</t>
  </si>
  <si>
    <r>
      <rPr>
        <b/>
        <sz val="14"/>
        <color theme="1"/>
        <rFont val="Calibri"/>
      </rPr>
      <t xml:space="preserve">TRIBUTAÇÃO ISS </t>
    </r>
    <r>
      <rPr>
        <sz val="14"/>
        <color theme="1"/>
        <rFont val="Calibri"/>
      </rPr>
      <t>(Despesa a ser alocada na rubrica VI - Outros Dispêndios)</t>
    </r>
  </si>
  <si>
    <r>
      <rPr>
        <b/>
        <sz val="14"/>
        <color theme="1"/>
        <rFont val="Calibri"/>
      </rPr>
      <t xml:space="preserve">TRIBUTAÇÃO ISS </t>
    </r>
    <r>
      <rPr>
        <sz val="14"/>
        <color theme="1"/>
        <rFont val="Calibri"/>
      </rPr>
      <t>(Despesa a ser alocada na rubrica VI - Outros Dispêndios)</t>
    </r>
  </si>
  <si>
    <r>
      <rPr>
        <b/>
        <sz val="14"/>
        <color theme="1"/>
        <rFont val="Calibri"/>
      </rPr>
      <t xml:space="preserve">TRIBUTAÇÃO ISS </t>
    </r>
    <r>
      <rPr>
        <sz val="14"/>
        <color theme="1"/>
        <rFont val="Calibri"/>
      </rPr>
      <t>(Despesa a ser alocada na rubrica VI - Outros Dispêndios)</t>
    </r>
  </si>
  <si>
    <t>TOTAL FINAL DO PROJETO</t>
  </si>
  <si>
    <t>ORIGINAL EMBRAPII</t>
  </si>
  <si>
    <t xml:space="preserve">    ISS</t>
  </si>
  <si>
    <r>
      <rPr>
        <b/>
        <i/>
        <sz val="14"/>
        <color theme="1"/>
        <rFont val="Calibri"/>
      </rPr>
      <t xml:space="preserve">Total Dispêndios (I a VI) </t>
    </r>
    <r>
      <rPr>
        <b/>
        <i/>
        <sz val="14"/>
        <color rgb="FFFF0000"/>
        <rFont val="Calibri"/>
      </rPr>
      <t>sem ISS</t>
    </r>
  </si>
  <si>
    <t>PROJETO: BIO CAROÇO - Desenvolvimento de um Sistema de Gestão Inteligente de Coletas</t>
  </si>
  <si>
    <t>EMPRESA: LC Indústria e Comercio de Frutas LTDA.</t>
  </si>
  <si>
    <t>ORIGINAL - versão atualizada dia 05/10/2026</t>
  </si>
  <si>
    <t>SETEMBRO</t>
  </si>
  <si>
    <t>OUTUBRO</t>
  </si>
  <si>
    <t>NOVEMBRO</t>
  </si>
  <si>
    <t>DEZEMBRO</t>
  </si>
  <si>
    <t>Parcela 1/9</t>
  </si>
  <si>
    <t>Parcela 2/9</t>
  </si>
  <si>
    <t>Parcela 3/9</t>
  </si>
  <si>
    <t>Parcela 4/9</t>
  </si>
  <si>
    <t>Parcela 5/9</t>
  </si>
  <si>
    <t>Parcela 6/9</t>
  </si>
  <si>
    <t>Parcela 7/9</t>
  </si>
  <si>
    <t>Parcela 8/9</t>
  </si>
  <si>
    <t>Parcela 9/9</t>
  </si>
  <si>
    <t>ORIGINAL LC FRUTAS</t>
  </si>
  <si>
    <t>1º REMANEJAMENTO</t>
  </si>
  <si>
    <t>2º REMANEJAMENTO</t>
  </si>
  <si>
    <t>Geziel Sena Colares</t>
  </si>
  <si>
    <t>Auxiliar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</si>
</sst>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_-&quot;R$&quot;\ * #,##0.00_-;\-&quot;R$&quot;\ * #,##0.00_-;_-&quot;R$&quot;\ * &quot;-&quot;??_-;_-@"/>
    <numFmt numFmtId="165" formatCode="[$R$ -416]#,##0.00"/>
    <numFmt numFmtId="166" formatCode="00000"/>
    <numFmt numFmtId="167" formatCode="_-[$R$-416]\ * #,##0.00_-;\-[$R$-416]\ * #,##0.00_-;_-[$R$-416]\ * &quot;-&quot;??_-;_-@"/>
    <numFmt numFmtId="168" formatCode="_-* #,##0.00_-;\-* #,##0.00_-;_-* &quot;-&quot;??_-;_-@"/>
    <numFmt numFmtId="169" formatCode="&quot;R$&quot;\ #,##0.00"/>
  </numFmts>
  <fonts count="55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b/>
      <sz val="11"/>
      <color theme="1"/>
      <name val="Calibri"/>
    </font>
    <font>
      <sz val="10"/>
      <color theme="1"/>
      <name val="Arial"/>
    </font>
    <font>
      <b/>
      <sz val="20"/>
      <color theme="0"/>
      <name val="Calibri"/>
    </font>
    <font>
      <sz val="11"/>
      <color theme="1"/>
      <name val="Arial"/>
    </font>
    <font>
      <sz val="11"/>
      <name val="Calibri"/>
    </font>
    <font>
      <b/>
      <sz val="20"/>
      <color rgb="FFFFFFFF"/>
      <name val="Arial"/>
    </font>
    <font>
      <b/>
      <sz val="16"/>
      <color rgb="FF000000"/>
      <name val="Calibri"/>
    </font>
    <font>
      <b/>
      <sz val="14"/>
      <color theme="1"/>
      <name val="Calibri"/>
    </font>
    <font>
      <sz val="16"/>
      <color theme="1"/>
      <name val="Calibri"/>
    </font>
    <font>
      <b/>
      <sz val="14"/>
      <color rgb="FF000000"/>
      <name val="Calibri"/>
    </font>
    <font>
      <b/>
      <sz val="16"/>
      <color theme="1"/>
      <name val="Calibri"/>
    </font>
    <font>
      <b/>
      <sz val="20"/>
      <color rgb="FFFFFFFF"/>
      <name val="Calibri"/>
    </font>
    <font>
      <b/>
      <sz val="11"/>
      <color theme="1"/>
      <name val="Arial"/>
    </font>
    <font>
      <b/>
      <sz val="16"/>
      <color rgb="FF20124D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20124D"/>
      <name val="Arial"/>
    </font>
    <font>
      <sz val="11"/>
      <color rgb="FF222222"/>
      <name val="Calibri"/>
    </font>
    <font>
      <b/>
      <sz val="14"/>
      <color rgb="FF000000"/>
      <name val="Arial"/>
    </font>
    <font>
      <sz val="15"/>
      <color rgb="FF000000"/>
      <name val="Calibri"/>
    </font>
    <font>
      <sz val="15"/>
      <color theme="1"/>
      <name val="Calibri"/>
    </font>
    <font>
      <sz val="14"/>
      <color theme="1"/>
      <name val="Calibri"/>
    </font>
    <font>
      <sz val="14"/>
      <color rgb="FF000000"/>
      <name val="Calibri"/>
    </font>
    <font>
      <b/>
      <sz val="12"/>
      <color theme="1"/>
      <name val="Calibri"/>
    </font>
    <font>
      <b/>
      <sz val="15"/>
      <color rgb="FF000000"/>
      <name val="Calibri"/>
    </font>
    <font>
      <sz val="14"/>
      <color theme="1"/>
      <name val="Arial"/>
    </font>
    <font>
      <sz val="14"/>
      <color rgb="FF000000"/>
      <name val="Arial"/>
    </font>
    <font>
      <i/>
      <sz val="15"/>
      <color rgb="FF000000"/>
      <name val="Calibri"/>
    </font>
    <font>
      <sz val="11"/>
      <color rgb="FF000000"/>
      <name val="Calibri"/>
    </font>
    <font>
      <b/>
      <sz val="14"/>
      <color theme="1"/>
      <name val="Arial"/>
    </font>
    <font>
      <b/>
      <sz val="15"/>
      <color theme="0"/>
      <name val="Calibri"/>
    </font>
    <font>
      <i/>
      <sz val="14"/>
      <color theme="1"/>
      <name val="Calibri"/>
    </font>
    <font>
      <b/>
      <sz val="14"/>
      <color theme="0"/>
      <name val="Calibri"/>
    </font>
    <font>
      <b/>
      <sz val="11"/>
      <color theme="0"/>
      <name val="Calibri"/>
    </font>
    <font>
      <b/>
      <i/>
      <sz val="11"/>
      <color theme="1"/>
      <name val="Calibri"/>
    </font>
    <font>
      <sz val="11"/>
      <color theme="1"/>
      <name val="Ariel"/>
    </font>
    <font>
      <b/>
      <sz val="12"/>
      <color rgb="FF000000"/>
      <name val="Arial"/>
    </font>
    <font>
      <sz val="12"/>
      <color rgb="FF000000"/>
      <name val="Arial"/>
    </font>
    <font>
      <sz val="12"/>
      <color rgb="FF222222"/>
      <name val="Arial"/>
    </font>
    <font>
      <sz val="11"/>
      <color theme="1"/>
      <name val="Calibri"/>
    </font>
    <font>
      <b/>
      <sz val="12"/>
      <color theme="0"/>
      <name val="Arial"/>
    </font>
    <font>
      <sz val="12"/>
      <color theme="1"/>
      <name val="Calibri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FFFFFF"/>
      <name val="Arial"/>
    </font>
    <font>
      <sz val="11"/>
      <color rgb="FF000000"/>
      <name val="Cambria"/>
    </font>
    <font>
      <b/>
      <sz val="11"/>
      <color rgb="FF000000"/>
      <name val="Cambria"/>
    </font>
    <font>
      <b/>
      <i/>
      <sz val="14"/>
      <color theme="1"/>
      <name val="Calibri"/>
    </font>
    <font>
      <b/>
      <i/>
      <sz val="14"/>
      <color rgb="FFFF0000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0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vertical="center"/>
    </xf>
    <xf numFmtId="0" fontId="9" fillId="2" borderId="7" xfId="0" applyFont="1" applyFill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" fontId="3" fillId="4" borderId="13" xfId="0" applyNumberFormat="1" applyFont="1" applyFill="1" applyBorder="1" applyAlignment="1">
      <alignment horizontal="center" vertical="center"/>
    </xf>
    <xf numFmtId="17" fontId="3" fillId="4" borderId="10" xfId="0" applyNumberFormat="1" applyFont="1" applyFill="1" applyBorder="1" applyAlignment="1">
      <alignment horizontal="center" vertical="center"/>
    </xf>
    <xf numFmtId="165" fontId="1" fillId="0" borderId="0" xfId="0" applyNumberFormat="1" applyFont="1"/>
    <xf numFmtId="0" fontId="12" fillId="4" borderId="16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 wrapText="1"/>
    </xf>
    <xf numFmtId="17" fontId="18" fillId="8" borderId="13" xfId="0" applyNumberFormat="1" applyFont="1" applyFill="1" applyBorder="1" applyAlignment="1">
      <alignment horizontal="center" vertical="center"/>
    </xf>
    <xf numFmtId="166" fontId="18" fillId="8" borderId="13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4" fontId="3" fillId="8" borderId="22" xfId="0" applyNumberFormat="1" applyFont="1" applyFill="1" applyBorder="1" applyAlignment="1">
      <alignment horizontal="center" vertical="center"/>
    </xf>
    <xf numFmtId="167" fontId="3" fillId="9" borderId="13" xfId="0" applyNumberFormat="1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21" fillId="11" borderId="13" xfId="0" applyFont="1" applyFill="1" applyBorder="1" applyAlignment="1">
      <alignment horizontal="center" vertical="center" wrapText="1"/>
    </xf>
    <xf numFmtId="14" fontId="18" fillId="8" borderId="23" xfId="0" applyNumberFormat="1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165" fontId="23" fillId="0" borderId="13" xfId="0" applyNumberFormat="1" applyFont="1" applyBorder="1" applyAlignment="1">
      <alignment horizontal="center" vertical="center"/>
    </xf>
    <xf numFmtId="10" fontId="23" fillId="0" borderId="13" xfId="0" applyNumberFormat="1" applyFont="1" applyBorder="1" applyAlignment="1">
      <alignment horizontal="center" vertical="center" wrapText="1"/>
    </xf>
    <xf numFmtId="0" fontId="18" fillId="8" borderId="2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0" fontId="25" fillId="8" borderId="15" xfId="0" applyFont="1" applyFill="1" applyBorder="1" applyAlignment="1">
      <alignment horizontal="center" vertical="center"/>
    </xf>
    <xf numFmtId="10" fontId="22" fillId="0" borderId="13" xfId="0" applyNumberFormat="1" applyFont="1" applyBorder="1" applyAlignment="1">
      <alignment horizontal="center" vertical="center" wrapText="1"/>
    </xf>
    <xf numFmtId="14" fontId="3" fillId="5" borderId="21" xfId="0" applyNumberFormat="1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167" fontId="1" fillId="9" borderId="0" xfId="0" applyNumberFormat="1" applyFont="1" applyFill="1"/>
    <xf numFmtId="168" fontId="28" fillId="0" borderId="0" xfId="0" applyNumberFormat="1" applyFont="1" applyAlignment="1">
      <alignment horizontal="center" vertical="center" wrapText="1"/>
    </xf>
    <xf numFmtId="0" fontId="3" fillId="5" borderId="26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/>
    </xf>
    <xf numFmtId="17" fontId="18" fillId="0" borderId="13" xfId="0" applyNumberFormat="1" applyFont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166" fontId="18" fillId="0" borderId="13" xfId="0" applyNumberFormat="1" applyFont="1" applyBorder="1" applyAlignment="1">
      <alignment horizontal="center" vertical="center"/>
    </xf>
    <xf numFmtId="168" fontId="29" fillId="0" borderId="0" xfId="0" applyNumberFormat="1" applyFont="1" applyAlignment="1">
      <alignment horizontal="center" vertical="center" wrapText="1"/>
    </xf>
    <xf numFmtId="164" fontId="18" fillId="2" borderId="19" xfId="0" applyNumberFormat="1" applyFont="1" applyFill="1" applyBorder="1" applyAlignment="1">
      <alignment horizontal="center" vertical="center"/>
    </xf>
    <xf numFmtId="164" fontId="18" fillId="0" borderId="19" xfId="0" applyNumberFormat="1" applyFont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14" fontId="18" fillId="2" borderId="31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2" fillId="0" borderId="13" xfId="0" applyFont="1" applyBorder="1" applyAlignment="1">
      <alignment horizontal="left" vertical="center" wrapText="1"/>
    </xf>
    <xf numFmtId="0" fontId="1" fillId="5" borderId="29" xfId="0" applyFont="1" applyFill="1" applyBorder="1"/>
    <xf numFmtId="4" fontId="28" fillId="0" borderId="0" xfId="0" applyNumberFormat="1" applyFont="1" applyAlignment="1">
      <alignment vertical="center"/>
    </xf>
    <xf numFmtId="0" fontId="1" fillId="5" borderId="33" xfId="0" applyFont="1" applyFill="1" applyBorder="1" applyAlignment="1">
      <alignment horizontal="center"/>
    </xf>
    <xf numFmtId="14" fontId="18" fillId="2" borderId="13" xfId="0" applyNumberFormat="1" applyFont="1" applyFill="1" applyBorder="1" applyAlignment="1">
      <alignment horizontal="center" vertical="center"/>
    </xf>
    <xf numFmtId="0" fontId="27" fillId="0" borderId="13" xfId="0" applyFont="1" applyBorder="1" applyAlignment="1">
      <alignment horizontal="left" vertical="center" wrapText="1"/>
    </xf>
    <xf numFmtId="165" fontId="27" fillId="0" borderId="13" xfId="0" applyNumberFormat="1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10" fontId="27" fillId="0" borderId="13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vertical="center"/>
    </xf>
    <xf numFmtId="10" fontId="15" fillId="0" borderId="0" xfId="0" applyNumberFormat="1" applyFont="1" applyAlignment="1">
      <alignment vertical="center"/>
    </xf>
    <xf numFmtId="0" fontId="30" fillId="0" borderId="13" xfId="0" applyFont="1" applyBorder="1" applyAlignment="1">
      <alignment horizontal="left" vertical="center" wrapText="1"/>
    </xf>
    <xf numFmtId="164" fontId="18" fillId="2" borderId="13" xfId="0" applyNumberFormat="1" applyFont="1" applyFill="1" applyBorder="1" applyAlignment="1">
      <alignment horizontal="center" vertical="center"/>
    </xf>
    <xf numFmtId="3" fontId="20" fillId="2" borderId="13" xfId="0" applyNumberFormat="1" applyFont="1" applyFill="1" applyBorder="1" applyAlignment="1">
      <alignment horizontal="center" vertical="center"/>
    </xf>
    <xf numFmtId="165" fontId="22" fillId="0" borderId="13" xfId="0" applyNumberFormat="1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168" fontId="6" fillId="0" borderId="0" xfId="0" applyNumberFormat="1" applyFont="1" applyAlignment="1">
      <alignment vertical="center"/>
    </xf>
    <xf numFmtId="0" fontId="30" fillId="0" borderId="1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9" fontId="22" fillId="0" borderId="13" xfId="0" applyNumberFormat="1" applyFont="1" applyBorder="1" applyAlignment="1">
      <alignment horizontal="center" vertical="center" wrapText="1"/>
    </xf>
    <xf numFmtId="0" fontId="18" fillId="8" borderId="19" xfId="0" applyFont="1" applyFill="1" applyBorder="1" applyAlignment="1">
      <alignment horizontal="center" vertical="center" wrapText="1"/>
    </xf>
    <xf numFmtId="164" fontId="1" fillId="2" borderId="37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1" fillId="0" borderId="21" xfId="0" applyFont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4" fontId="32" fillId="0" borderId="0" xfId="0" applyNumberFormat="1" applyFont="1" applyAlignment="1">
      <alignment vertical="center"/>
    </xf>
    <xf numFmtId="0" fontId="30" fillId="0" borderId="13" xfId="0" applyFont="1" applyBorder="1" applyAlignment="1">
      <alignment vertical="center" wrapText="1"/>
    </xf>
    <xf numFmtId="165" fontId="1" fillId="0" borderId="21" xfId="0" applyNumberFormat="1" applyFont="1" applyBorder="1" applyAlignment="1">
      <alignment horizontal="center" vertical="center"/>
    </xf>
    <xf numFmtId="17" fontId="18" fillId="8" borderId="19" xfId="0" applyNumberFormat="1" applyFont="1" applyFill="1" applyBorder="1" applyAlignment="1">
      <alignment horizontal="center" vertical="center"/>
    </xf>
    <xf numFmtId="165" fontId="27" fillId="6" borderId="13" xfId="0" applyNumberFormat="1" applyFont="1" applyFill="1" applyBorder="1" applyAlignment="1">
      <alignment horizontal="center" vertical="center" wrapText="1"/>
    </xf>
    <xf numFmtId="167" fontId="1" fillId="0" borderId="21" xfId="0" applyNumberFormat="1" applyFont="1" applyBorder="1" applyAlignment="1">
      <alignment vertical="center"/>
    </xf>
    <xf numFmtId="165" fontId="23" fillId="2" borderId="13" xfId="0" applyNumberFormat="1" applyFont="1" applyFill="1" applyBorder="1" applyAlignment="1">
      <alignment horizontal="center"/>
    </xf>
    <xf numFmtId="164" fontId="3" fillId="8" borderId="37" xfId="0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left" vertical="center" wrapText="1"/>
    </xf>
    <xf numFmtId="167" fontId="3" fillId="15" borderId="13" xfId="0" applyNumberFormat="1" applyFont="1" applyFill="1" applyBorder="1" applyAlignment="1">
      <alignment horizontal="center" vertical="center"/>
    </xf>
    <xf numFmtId="167" fontId="1" fillId="0" borderId="26" xfId="0" applyNumberFormat="1" applyFont="1" applyBorder="1" applyAlignment="1">
      <alignment horizontal="center" vertical="center"/>
    </xf>
    <xf numFmtId="165" fontId="23" fillId="2" borderId="22" xfId="0" applyNumberFormat="1" applyFont="1" applyFill="1" applyBorder="1" applyAlignment="1">
      <alignment horizontal="center"/>
    </xf>
    <xf numFmtId="0" fontId="20" fillId="8" borderId="13" xfId="0" applyFont="1" applyFill="1" applyBorder="1" applyAlignment="1">
      <alignment horizontal="center" vertical="center"/>
    </xf>
    <xf numFmtId="167" fontId="1" fillId="2" borderId="21" xfId="0" applyNumberFormat="1" applyFont="1" applyFill="1" applyBorder="1" applyAlignment="1">
      <alignment horizontal="center" vertical="center"/>
    </xf>
    <xf numFmtId="167" fontId="1" fillId="2" borderId="36" xfId="0" applyNumberFormat="1" applyFont="1" applyFill="1" applyBorder="1" applyAlignment="1">
      <alignment horizontal="center" vertical="center"/>
    </xf>
    <xf numFmtId="167" fontId="1" fillId="2" borderId="36" xfId="0" applyNumberFormat="1" applyFont="1" applyFill="1" applyBorder="1" applyAlignment="1">
      <alignment vertical="center"/>
    </xf>
    <xf numFmtId="165" fontId="6" fillId="2" borderId="40" xfId="0" applyNumberFormat="1" applyFont="1" applyFill="1" applyBorder="1" applyAlignment="1">
      <alignment horizontal="center" vertical="center"/>
    </xf>
    <xf numFmtId="165" fontId="3" fillId="2" borderId="13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167" fontId="1" fillId="0" borderId="13" xfId="0" applyNumberFormat="1" applyFont="1" applyBorder="1" applyAlignment="1">
      <alignment vertical="center"/>
    </xf>
    <xf numFmtId="167" fontId="1" fillId="2" borderId="19" xfId="0" applyNumberFormat="1" applyFont="1" applyFill="1" applyBorder="1" applyAlignment="1">
      <alignment vertical="center"/>
    </xf>
    <xf numFmtId="0" fontId="31" fillId="0" borderId="13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wrapText="1"/>
    </xf>
    <xf numFmtId="167" fontId="1" fillId="2" borderId="13" xfId="0" applyNumberFormat="1" applyFont="1" applyFill="1" applyBorder="1" applyAlignment="1">
      <alignment vertical="center"/>
    </xf>
    <xf numFmtId="165" fontId="1" fillId="0" borderId="13" xfId="0" applyNumberFormat="1" applyFont="1" applyBorder="1" applyAlignment="1">
      <alignment horizontal="center" vertical="center"/>
    </xf>
    <xf numFmtId="10" fontId="22" fillId="0" borderId="41" xfId="0" applyNumberFormat="1" applyFont="1" applyBorder="1" applyAlignment="1">
      <alignment horizontal="center" vertical="center" wrapText="1"/>
    </xf>
    <xf numFmtId="167" fontId="1" fillId="0" borderId="17" xfId="0" applyNumberFormat="1" applyFont="1" applyBorder="1" applyAlignment="1">
      <alignment horizontal="center" vertical="center"/>
    </xf>
    <xf numFmtId="14" fontId="18" fillId="8" borderId="13" xfId="0" applyNumberFormat="1" applyFont="1" applyFill="1" applyBorder="1" applyAlignment="1">
      <alignment horizontal="center" vertical="center"/>
    </xf>
    <xf numFmtId="0" fontId="33" fillId="3" borderId="42" xfId="0" applyFont="1" applyFill="1" applyBorder="1" applyAlignment="1">
      <alignment vertical="center"/>
    </xf>
    <xf numFmtId="0" fontId="18" fillId="8" borderId="13" xfId="0" applyFont="1" applyFill="1" applyBorder="1" applyAlignment="1">
      <alignment horizontal="center" vertical="center"/>
    </xf>
    <xf numFmtId="165" fontId="33" fillId="3" borderId="43" xfId="0" applyNumberFormat="1" applyFont="1" applyFill="1" applyBorder="1" applyAlignment="1">
      <alignment horizontal="center" vertical="center"/>
    </xf>
    <xf numFmtId="0" fontId="24" fillId="8" borderId="13" xfId="0" applyFont="1" applyFill="1" applyBorder="1" applyAlignment="1">
      <alignment horizontal="center" vertical="center"/>
    </xf>
    <xf numFmtId="10" fontId="33" fillId="3" borderId="44" xfId="0" applyNumberFormat="1" applyFont="1" applyFill="1" applyBorder="1" applyAlignment="1">
      <alignment vertical="center"/>
    </xf>
    <xf numFmtId="164" fontId="1" fillId="14" borderId="0" xfId="0" applyNumberFormat="1" applyFont="1" applyFill="1"/>
    <xf numFmtId="165" fontId="6" fillId="0" borderId="0" xfId="0" applyNumberFormat="1" applyFont="1" applyAlignment="1">
      <alignment vertical="center"/>
    </xf>
    <xf numFmtId="0" fontId="1" fillId="0" borderId="45" xfId="0" applyFont="1" applyBorder="1" applyAlignment="1">
      <alignment horizontal="center" vertical="center"/>
    </xf>
    <xf numFmtId="167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31" fillId="0" borderId="45" xfId="0" applyFont="1" applyBorder="1" applyAlignment="1">
      <alignment horizontal="center"/>
    </xf>
    <xf numFmtId="167" fontId="36" fillId="3" borderId="49" xfId="0" applyNumberFormat="1" applyFont="1" applyFill="1" applyBorder="1" applyAlignment="1">
      <alignment vertical="center"/>
    </xf>
    <xf numFmtId="0" fontId="36" fillId="3" borderId="49" xfId="0" applyFont="1" applyFill="1" applyBorder="1" applyAlignment="1">
      <alignment vertical="center"/>
    </xf>
    <xf numFmtId="0" fontId="3" fillId="8" borderId="50" xfId="0" applyFont="1" applyFill="1" applyBorder="1" applyAlignment="1">
      <alignment horizontal="center" vertical="center" wrapText="1"/>
    </xf>
    <xf numFmtId="167" fontId="36" fillId="3" borderId="51" xfId="0" applyNumberFormat="1" applyFont="1" applyFill="1" applyBorder="1" applyAlignment="1">
      <alignment vertical="center"/>
    </xf>
    <xf numFmtId="164" fontId="3" fillId="8" borderId="35" xfId="0" applyNumberFormat="1" applyFont="1" applyFill="1" applyBorder="1" applyAlignment="1">
      <alignment horizontal="center" vertical="center"/>
    </xf>
    <xf numFmtId="0" fontId="18" fillId="8" borderId="17" xfId="0" applyFont="1" applyFill="1" applyBorder="1" applyAlignment="1">
      <alignment horizontal="center" vertical="center"/>
    </xf>
    <xf numFmtId="0" fontId="18" fillId="8" borderId="36" xfId="0" applyFont="1" applyFill="1" applyBorder="1" applyAlignment="1">
      <alignment horizontal="center" vertical="center" wrapText="1"/>
    </xf>
    <xf numFmtId="0" fontId="3" fillId="8" borderId="50" xfId="0" applyFont="1" applyFill="1" applyBorder="1" applyAlignment="1">
      <alignment horizontal="center" vertical="center" wrapText="1"/>
    </xf>
    <xf numFmtId="164" fontId="3" fillId="8" borderId="37" xfId="0" applyNumberFormat="1" applyFont="1" applyFill="1" applyBorder="1" applyAlignment="1">
      <alignment horizontal="center"/>
    </xf>
    <xf numFmtId="167" fontId="3" fillId="7" borderId="13" xfId="0" applyNumberFormat="1" applyFont="1" applyFill="1" applyBorder="1" applyAlignment="1">
      <alignment horizontal="center" vertical="center"/>
    </xf>
    <xf numFmtId="167" fontId="36" fillId="3" borderId="49" xfId="0" applyNumberFormat="1" applyFont="1" applyFill="1" applyBorder="1" applyAlignment="1">
      <alignment horizontal="center" vertical="center"/>
    </xf>
    <xf numFmtId="0" fontId="17" fillId="8" borderId="50" xfId="0" applyFont="1" applyFill="1" applyBorder="1" applyAlignment="1">
      <alignment horizontal="center" vertical="center" wrapText="1"/>
    </xf>
    <xf numFmtId="167" fontId="3" fillId="18" borderId="13" xfId="0" applyNumberFormat="1" applyFont="1" applyFill="1" applyBorder="1" applyAlignment="1">
      <alignment horizontal="center" vertical="center"/>
    </xf>
    <xf numFmtId="14" fontId="18" fillId="8" borderId="17" xfId="0" applyNumberFormat="1" applyFont="1" applyFill="1" applyBorder="1" applyAlignment="1">
      <alignment horizontal="center" vertical="center"/>
    </xf>
    <xf numFmtId="167" fontId="3" fillId="8" borderId="13" xfId="0" applyNumberFormat="1" applyFont="1" applyFill="1" applyBorder="1" applyAlignment="1">
      <alignment horizontal="center" vertical="center"/>
    </xf>
    <xf numFmtId="0" fontId="37" fillId="8" borderId="50" xfId="0" applyFont="1" applyFill="1" applyBorder="1" applyAlignment="1">
      <alignment horizontal="center" vertical="center" wrapText="1"/>
    </xf>
    <xf numFmtId="164" fontId="1" fillId="8" borderId="13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3" fillId="8" borderId="13" xfId="0" applyFont="1" applyFill="1" applyBorder="1" applyAlignment="1">
      <alignment horizontal="center"/>
    </xf>
    <xf numFmtId="0" fontId="37" fillId="8" borderId="50" xfId="0" applyFont="1" applyFill="1" applyBorder="1" applyAlignment="1">
      <alignment horizontal="center" vertical="center" wrapText="1"/>
    </xf>
    <xf numFmtId="167" fontId="1" fillId="0" borderId="21" xfId="0" applyNumberFormat="1" applyFont="1" applyBorder="1" applyAlignment="1">
      <alignment horizontal="center" vertical="center"/>
    </xf>
    <xf numFmtId="166" fontId="18" fillId="8" borderId="17" xfId="0" applyNumberFormat="1" applyFont="1" applyFill="1" applyBorder="1" applyAlignment="1">
      <alignment horizontal="center" vertical="center"/>
    </xf>
    <xf numFmtId="167" fontId="1" fillId="2" borderId="21" xfId="0" applyNumberFormat="1" applyFont="1" applyFill="1" applyBorder="1" applyAlignment="1">
      <alignment vertical="center"/>
    </xf>
    <xf numFmtId="0" fontId="3" fillId="8" borderId="19" xfId="0" applyFont="1" applyFill="1" applyBorder="1" applyAlignment="1">
      <alignment horizontal="center"/>
    </xf>
    <xf numFmtId="164" fontId="3" fillId="8" borderId="36" xfId="0" applyNumberFormat="1" applyFont="1" applyFill="1" applyBorder="1" applyAlignment="1">
      <alignment horizontal="center"/>
    </xf>
    <xf numFmtId="0" fontId="17" fillId="8" borderId="50" xfId="0" applyFont="1" applyFill="1" applyBorder="1" applyAlignment="1">
      <alignment horizontal="center" vertical="center" wrapText="1"/>
    </xf>
    <xf numFmtId="165" fontId="3" fillId="2" borderId="40" xfId="0" applyNumberFormat="1" applyFont="1" applyFill="1" applyBorder="1" applyAlignment="1">
      <alignment horizontal="center" vertical="center"/>
    </xf>
    <xf numFmtId="164" fontId="3" fillId="15" borderId="22" xfId="0" applyNumberFormat="1" applyFont="1" applyFill="1" applyBorder="1" applyAlignment="1">
      <alignment horizontal="center"/>
    </xf>
    <xf numFmtId="167" fontId="1" fillId="2" borderId="13" xfId="0" applyNumberFormat="1" applyFont="1" applyFill="1" applyBorder="1" applyAlignment="1">
      <alignment horizontal="center" vertical="center"/>
    </xf>
    <xf numFmtId="0" fontId="17" fillId="8" borderId="52" xfId="0" applyFont="1" applyFill="1" applyBorder="1" applyAlignment="1">
      <alignment horizontal="center" vertical="center" wrapText="1"/>
    </xf>
    <xf numFmtId="164" fontId="3" fillId="15" borderId="35" xfId="0" applyNumberFormat="1" applyFont="1" applyFill="1" applyBorder="1" applyAlignment="1">
      <alignment horizontal="center"/>
    </xf>
    <xf numFmtId="167" fontId="36" fillId="3" borderId="1" xfId="0" applyNumberFormat="1" applyFont="1" applyFill="1" applyBorder="1" applyAlignment="1">
      <alignment vertical="center"/>
    </xf>
    <xf numFmtId="0" fontId="18" fillId="8" borderId="53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vertical="center"/>
    </xf>
    <xf numFmtId="0" fontId="3" fillId="8" borderId="15" xfId="0" applyFont="1" applyFill="1" applyBorder="1" applyAlignment="1">
      <alignment horizontal="center" wrapText="1"/>
    </xf>
    <xf numFmtId="165" fontId="36" fillId="3" borderId="1" xfId="0" applyNumberFormat="1" applyFont="1" applyFill="1" applyBorder="1" applyAlignment="1">
      <alignment horizontal="center" vertical="center"/>
    </xf>
    <xf numFmtId="164" fontId="3" fillId="7" borderId="35" xfId="0" applyNumberFormat="1" applyFont="1" applyFill="1" applyBorder="1" applyAlignment="1">
      <alignment horizontal="left"/>
    </xf>
    <xf numFmtId="0" fontId="1" fillId="8" borderId="0" xfId="0" applyFont="1" applyFill="1" applyAlignment="1">
      <alignment horizontal="left"/>
    </xf>
    <xf numFmtId="167" fontId="36" fillId="3" borderId="1" xfId="0" applyNumberFormat="1" applyFont="1" applyFill="1" applyBorder="1" applyAlignment="1">
      <alignment horizontal="center" vertical="center"/>
    </xf>
    <xf numFmtId="164" fontId="36" fillId="3" borderId="13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4" fontId="38" fillId="0" borderId="0" xfId="0" applyNumberFormat="1" applyFont="1" applyAlignment="1">
      <alignment vertical="center"/>
    </xf>
    <xf numFmtId="0" fontId="24" fillId="0" borderId="13" xfId="0" applyFont="1" applyBorder="1" applyAlignment="1">
      <alignment horizontal="center"/>
    </xf>
    <xf numFmtId="0" fontId="38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69" fontId="38" fillId="2" borderId="0" xfId="0" applyNumberFormat="1" applyFont="1" applyFill="1" applyAlignment="1">
      <alignment vertical="center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38" fillId="2" borderId="0" xfId="0" applyFont="1" applyFill="1" applyAlignment="1">
      <alignment vertical="center"/>
    </xf>
    <xf numFmtId="164" fontId="1" fillId="0" borderId="0" xfId="0" applyNumberFormat="1" applyFont="1"/>
    <xf numFmtId="165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horizontal="right" vertical="center"/>
    </xf>
    <xf numFmtId="10" fontId="1" fillId="0" borderId="0" xfId="0" applyNumberFormat="1" applyFont="1"/>
    <xf numFmtId="164" fontId="6" fillId="2" borderId="0" xfId="0" applyNumberFormat="1" applyFont="1" applyFill="1" applyAlignment="1">
      <alignment vertical="center"/>
    </xf>
    <xf numFmtId="165" fontId="38" fillId="2" borderId="0" xfId="0" applyNumberFormat="1" applyFont="1" applyFill="1" applyAlignment="1">
      <alignment horizontal="right" vertical="center"/>
    </xf>
    <xf numFmtId="0" fontId="39" fillId="4" borderId="57" xfId="0" applyFont="1" applyFill="1" applyBorder="1" applyAlignment="1">
      <alignment horizontal="center" vertical="center" wrapText="1"/>
    </xf>
    <xf numFmtId="0" fontId="39" fillId="4" borderId="21" xfId="0" applyFont="1" applyFill="1" applyBorder="1" applyAlignment="1">
      <alignment horizontal="center" vertical="center"/>
    </xf>
    <xf numFmtId="164" fontId="38" fillId="2" borderId="0" xfId="0" applyNumberFormat="1" applyFont="1" applyFill="1" applyAlignment="1">
      <alignment vertical="center"/>
    </xf>
    <xf numFmtId="0" fontId="39" fillId="4" borderId="21" xfId="0" applyFont="1" applyFill="1" applyBorder="1" applyAlignment="1">
      <alignment horizontal="center" vertical="center" wrapText="1"/>
    </xf>
    <xf numFmtId="0" fontId="39" fillId="4" borderId="13" xfId="0" applyFont="1" applyFill="1" applyBorder="1" applyAlignment="1">
      <alignment horizontal="center" vertical="center" wrapText="1"/>
    </xf>
    <xf numFmtId="165" fontId="38" fillId="2" borderId="0" xfId="0" applyNumberFormat="1" applyFont="1" applyFill="1" applyAlignment="1">
      <alignment vertical="center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center" vertical="center"/>
    </xf>
    <xf numFmtId="0" fontId="39" fillId="0" borderId="13" xfId="0" applyFont="1" applyBorder="1" applyAlignment="1">
      <alignment horizontal="center" vertical="center" wrapText="1"/>
    </xf>
    <xf numFmtId="17" fontId="40" fillId="0" borderId="13" xfId="0" applyNumberFormat="1" applyFont="1" applyBorder="1" applyAlignment="1">
      <alignment horizontal="center" vertical="center"/>
    </xf>
    <xf numFmtId="16" fontId="40" fillId="0" borderId="13" xfId="0" applyNumberFormat="1" applyFont="1" applyBorder="1" applyAlignment="1">
      <alignment horizontal="center" vertical="center"/>
    </xf>
    <xf numFmtId="164" fontId="40" fillId="0" borderId="13" xfId="0" applyNumberFormat="1" applyFont="1" applyBorder="1" applyAlignment="1">
      <alignment horizontal="center" vertical="center"/>
    </xf>
    <xf numFmtId="0" fontId="1" fillId="0" borderId="13" xfId="0" applyFont="1" applyBorder="1"/>
    <xf numFmtId="0" fontId="40" fillId="0" borderId="13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2" fillId="0" borderId="13" xfId="0" applyFont="1" applyBorder="1"/>
    <xf numFmtId="0" fontId="42" fillId="0" borderId="0" xfId="0" applyFont="1" applyAlignment="1">
      <alignment horizontal="center" vertical="center"/>
    </xf>
    <xf numFmtId="8" fontId="43" fillId="3" borderId="13" xfId="0" applyNumberFormat="1" applyFont="1" applyFill="1" applyBorder="1" applyAlignment="1">
      <alignment horizontal="center" vertical="center"/>
    </xf>
    <xf numFmtId="164" fontId="43" fillId="3" borderId="13" xfId="0" applyNumberFormat="1" applyFont="1" applyFill="1" applyBorder="1" applyAlignment="1">
      <alignment horizontal="center" vertical="center"/>
    </xf>
    <xf numFmtId="165" fontId="44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 applyAlignment="1"/>
    <xf numFmtId="0" fontId="45" fillId="4" borderId="10" xfId="0" applyFont="1" applyFill="1" applyBorder="1" applyAlignment="1">
      <alignment horizontal="center" wrapText="1"/>
    </xf>
    <xf numFmtId="0" fontId="45" fillId="4" borderId="10" xfId="0" applyFont="1" applyFill="1" applyBorder="1" applyAlignment="1">
      <alignment horizontal="center"/>
    </xf>
    <xf numFmtId="0" fontId="45" fillId="4" borderId="10" xfId="0" applyFont="1" applyFill="1" applyBorder="1" applyAlignment="1">
      <alignment horizontal="center" vertical="center"/>
    </xf>
    <xf numFmtId="0" fontId="45" fillId="0" borderId="13" xfId="0" applyFont="1" applyBorder="1" applyAlignment="1">
      <alignment horizontal="center" wrapText="1"/>
    </xf>
    <xf numFmtId="17" fontId="46" fillId="0" borderId="13" xfId="0" applyNumberFormat="1" applyFont="1" applyBorder="1" applyAlignment="1">
      <alignment horizontal="center"/>
    </xf>
    <xf numFmtId="166" fontId="46" fillId="0" borderId="13" xfId="0" applyNumberFormat="1" applyFont="1" applyBorder="1" applyAlignment="1">
      <alignment horizontal="center"/>
    </xf>
    <xf numFmtId="164" fontId="46" fillId="14" borderId="13" xfId="0" applyNumberFormat="1" applyFont="1" applyFill="1" applyBorder="1" applyAlignment="1">
      <alignment horizontal="center"/>
    </xf>
    <xf numFmtId="164" fontId="46" fillId="0" borderId="13" xfId="0" applyNumberFormat="1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14" fontId="46" fillId="0" borderId="13" xfId="0" applyNumberFormat="1" applyFont="1" applyBorder="1" applyAlignment="1">
      <alignment horizontal="center"/>
    </xf>
    <xf numFmtId="165" fontId="1" fillId="0" borderId="13" xfId="0" applyNumberFormat="1" applyFont="1" applyBorder="1" applyAlignment="1">
      <alignment horizontal="center"/>
    </xf>
    <xf numFmtId="0" fontId="45" fillId="0" borderId="23" xfId="0" applyFont="1" applyBorder="1" applyAlignment="1">
      <alignment horizontal="center" wrapText="1"/>
    </xf>
    <xf numFmtId="17" fontId="46" fillId="0" borderId="23" xfId="0" applyNumberFormat="1" applyFont="1" applyBorder="1" applyAlignment="1">
      <alignment horizontal="center"/>
    </xf>
    <xf numFmtId="166" fontId="46" fillId="0" borderId="23" xfId="0" applyNumberFormat="1" applyFont="1" applyBorder="1" applyAlignment="1">
      <alignment horizontal="center"/>
    </xf>
    <xf numFmtId="164" fontId="46" fillId="14" borderId="23" xfId="0" applyNumberFormat="1" applyFont="1" applyFill="1" applyBorder="1" applyAlignment="1">
      <alignment horizontal="center"/>
    </xf>
    <xf numFmtId="164" fontId="46" fillId="0" borderId="23" xfId="0" applyNumberFormat="1" applyFont="1" applyBorder="1" applyAlignment="1">
      <alignment horizontal="center"/>
    </xf>
    <xf numFmtId="164" fontId="41" fillId="0" borderId="23" xfId="0" applyNumberFormat="1" applyFont="1" applyBorder="1" applyAlignment="1">
      <alignment horizontal="center"/>
    </xf>
    <xf numFmtId="0" fontId="41" fillId="0" borderId="23" xfId="0" applyFont="1" applyBorder="1" applyAlignment="1">
      <alignment horizontal="center"/>
    </xf>
    <xf numFmtId="14" fontId="46" fillId="0" borderId="23" xfId="0" applyNumberFormat="1" applyFont="1" applyBorder="1" applyAlignment="1">
      <alignment horizontal="center"/>
    </xf>
    <xf numFmtId="165" fontId="41" fillId="2" borderId="21" xfId="0" applyNumberFormat="1" applyFont="1" applyFill="1" applyBorder="1" applyAlignment="1">
      <alignment horizontal="center"/>
    </xf>
    <xf numFmtId="165" fontId="41" fillId="2" borderId="13" xfId="0" applyNumberFormat="1" applyFont="1" applyFill="1" applyBorder="1" applyAlignment="1">
      <alignment horizontal="center"/>
    </xf>
    <xf numFmtId="0" fontId="45" fillId="0" borderId="21" xfId="0" applyFont="1" applyBorder="1" applyAlignment="1">
      <alignment horizontal="center" wrapText="1"/>
    </xf>
    <xf numFmtId="17" fontId="46" fillId="0" borderId="21" xfId="0" applyNumberFormat="1" applyFont="1" applyBorder="1" applyAlignment="1">
      <alignment horizontal="center"/>
    </xf>
    <xf numFmtId="166" fontId="46" fillId="0" borderId="21" xfId="0" applyNumberFormat="1" applyFont="1" applyBorder="1" applyAlignment="1">
      <alignment horizontal="center"/>
    </xf>
    <xf numFmtId="164" fontId="46" fillId="14" borderId="21" xfId="0" applyNumberFormat="1" applyFont="1" applyFill="1" applyBorder="1" applyAlignment="1">
      <alignment horizontal="center"/>
    </xf>
    <xf numFmtId="164" fontId="46" fillId="2" borderId="21" xfId="0" applyNumberFormat="1" applyFont="1" applyFill="1" applyBorder="1" applyAlignment="1">
      <alignment horizontal="center"/>
    </xf>
    <xf numFmtId="164" fontId="41" fillId="2" borderId="21" xfId="0" applyNumberFormat="1" applyFont="1" applyFill="1" applyBorder="1" applyAlignment="1">
      <alignment horizontal="center"/>
    </xf>
    <xf numFmtId="0" fontId="41" fillId="2" borderId="21" xfId="0" applyFont="1" applyFill="1" applyBorder="1" applyAlignment="1">
      <alignment horizontal="center"/>
    </xf>
    <xf numFmtId="14" fontId="46" fillId="0" borderId="21" xfId="0" applyNumberFormat="1" applyFont="1" applyBorder="1" applyAlignment="1">
      <alignment horizontal="center"/>
    </xf>
    <xf numFmtId="164" fontId="46" fillId="2" borderId="13" xfId="0" applyNumberFormat="1" applyFont="1" applyFill="1" applyBorder="1" applyAlignment="1">
      <alignment horizontal="center"/>
    </xf>
    <xf numFmtId="164" fontId="41" fillId="2" borderId="13" xfId="0" applyNumberFormat="1" applyFont="1" applyFill="1" applyBorder="1" applyAlignment="1">
      <alignment horizontal="center"/>
    </xf>
    <xf numFmtId="0" fontId="1" fillId="2" borderId="13" xfId="0" applyFont="1" applyFill="1" applyBorder="1"/>
    <xf numFmtId="14" fontId="1" fillId="2" borderId="13" xfId="0" applyNumberFormat="1" applyFont="1" applyFill="1" applyBorder="1"/>
    <xf numFmtId="164" fontId="41" fillId="0" borderId="13" xfId="0" applyNumberFormat="1" applyFont="1" applyBorder="1" applyAlignment="1">
      <alignment horizontal="center"/>
    </xf>
    <xf numFmtId="14" fontId="1" fillId="0" borderId="13" xfId="0" applyNumberFormat="1" applyFont="1" applyBorder="1"/>
    <xf numFmtId="165" fontId="1" fillId="0" borderId="13" xfId="0" applyNumberFormat="1" applyFont="1" applyBorder="1"/>
    <xf numFmtId="0" fontId="1" fillId="0" borderId="13" xfId="0" applyFont="1" applyBorder="1" applyAlignment="1">
      <alignment wrapText="1"/>
    </xf>
    <xf numFmtId="17" fontId="1" fillId="0" borderId="13" xfId="0" applyNumberFormat="1" applyFont="1" applyBorder="1"/>
    <xf numFmtId="166" fontId="1" fillId="0" borderId="13" xfId="0" applyNumberFormat="1" applyFont="1" applyBorder="1"/>
    <xf numFmtId="164" fontId="1" fillId="0" borderId="13" xfId="0" applyNumberFormat="1" applyFont="1" applyBorder="1"/>
    <xf numFmtId="164" fontId="47" fillId="3" borderId="13" xfId="0" applyNumberFormat="1" applyFont="1" applyFill="1" applyBorder="1" applyAlignment="1">
      <alignment horizontal="center"/>
    </xf>
    <xf numFmtId="0" fontId="40" fillId="2" borderId="13" xfId="0" applyFont="1" applyFill="1" applyBorder="1" applyAlignment="1">
      <alignment horizontal="center" vertical="center"/>
    </xf>
    <xf numFmtId="165" fontId="1" fillId="0" borderId="0" xfId="0" applyNumberFormat="1" applyFont="1" applyAlignment="1"/>
    <xf numFmtId="4" fontId="1" fillId="0" borderId="0" xfId="0" applyNumberFormat="1" applyFont="1" applyAlignment="1"/>
    <xf numFmtId="165" fontId="48" fillId="0" borderId="13" xfId="0" applyNumberFormat="1" applyFont="1" applyBorder="1" applyAlignment="1">
      <alignment horizontal="center" wrapText="1"/>
    </xf>
    <xf numFmtId="10" fontId="48" fillId="0" borderId="13" xfId="0" applyNumberFormat="1" applyFont="1" applyBorder="1" applyAlignment="1">
      <alignment horizontal="center" wrapText="1"/>
    </xf>
    <xf numFmtId="165" fontId="48" fillId="0" borderId="0" xfId="0" applyNumberFormat="1" applyFont="1" applyAlignment="1">
      <alignment horizontal="center" wrapText="1"/>
    </xf>
    <xf numFmtId="10" fontId="48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left"/>
    </xf>
    <xf numFmtId="165" fontId="48" fillId="2" borderId="0" xfId="0" applyNumberFormat="1" applyFont="1" applyFill="1" applyAlignment="1">
      <alignment horizontal="center" wrapText="1"/>
    </xf>
    <xf numFmtId="10" fontId="48" fillId="2" borderId="0" xfId="0" applyNumberFormat="1" applyFont="1" applyFill="1" applyAlignment="1">
      <alignment horizontal="center" wrapText="1"/>
    </xf>
    <xf numFmtId="4" fontId="49" fillId="0" borderId="13" xfId="0" applyNumberFormat="1" applyFont="1" applyBorder="1" applyAlignment="1">
      <alignment horizontal="center" wrapText="1"/>
    </xf>
    <xf numFmtId="4" fontId="49" fillId="0" borderId="0" xfId="0" applyNumberFormat="1" applyFont="1" applyAlignment="1">
      <alignment horizontal="center" wrapText="1"/>
    </xf>
    <xf numFmtId="0" fontId="24" fillId="0" borderId="0" xfId="0" applyFont="1" applyAlignment="1">
      <alignment vertical="center"/>
    </xf>
    <xf numFmtId="0" fontId="10" fillId="11" borderId="38" xfId="0" applyFont="1" applyFill="1" applyBorder="1" applyAlignment="1">
      <alignment horizontal="center" vertical="center" wrapText="1"/>
    </xf>
    <xf numFmtId="0" fontId="10" fillId="11" borderId="40" xfId="0" applyFont="1" applyFill="1" applyBorder="1" applyAlignment="1">
      <alignment horizontal="center" vertical="center" wrapText="1"/>
    </xf>
    <xf numFmtId="0" fontId="10" fillId="11" borderId="61" xfId="0" applyFont="1" applyFill="1" applyBorder="1" applyAlignment="1">
      <alignment horizontal="center" vertical="center" wrapText="1"/>
    </xf>
    <xf numFmtId="0" fontId="10" fillId="20" borderId="38" xfId="0" applyFont="1" applyFill="1" applyBorder="1" applyAlignment="1">
      <alignment horizontal="center" vertical="center" wrapText="1"/>
    </xf>
    <xf numFmtId="0" fontId="10" fillId="20" borderId="40" xfId="0" applyFont="1" applyFill="1" applyBorder="1" applyAlignment="1">
      <alignment horizontal="center" vertical="center" wrapText="1"/>
    </xf>
    <xf numFmtId="0" fontId="10" fillId="20" borderId="61" xfId="0" applyFont="1" applyFill="1" applyBorder="1" applyAlignment="1">
      <alignment horizontal="center" vertical="center" wrapText="1"/>
    </xf>
    <xf numFmtId="164" fontId="24" fillId="2" borderId="35" xfId="0" applyNumberFormat="1" applyFont="1" applyFill="1" applyBorder="1" applyAlignment="1">
      <alignment horizontal="center" vertical="center"/>
    </xf>
    <xf numFmtId="10" fontId="24" fillId="0" borderId="62" xfId="0" applyNumberFormat="1" applyFont="1" applyBorder="1" applyAlignment="1">
      <alignment horizontal="center" vertical="center" wrapText="1"/>
    </xf>
    <xf numFmtId="10" fontId="24" fillId="0" borderId="0" xfId="0" applyNumberFormat="1" applyFont="1" applyAlignment="1">
      <alignment vertical="center"/>
    </xf>
    <xf numFmtId="0" fontId="24" fillId="6" borderId="38" xfId="0" applyFont="1" applyFill="1" applyBorder="1" applyAlignment="1">
      <alignment horizontal="left" vertical="center" wrapText="1"/>
    </xf>
    <xf numFmtId="10" fontId="24" fillId="6" borderId="63" xfId="0" applyNumberFormat="1" applyFont="1" applyFill="1" applyBorder="1" applyAlignment="1">
      <alignment horizontal="center" vertical="center" wrapText="1"/>
    </xf>
    <xf numFmtId="10" fontId="24" fillId="6" borderId="1" xfId="0" applyNumberFormat="1" applyFont="1" applyFill="1" applyBorder="1" applyAlignment="1">
      <alignment vertical="center"/>
    </xf>
    <xf numFmtId="0" fontId="24" fillId="6" borderId="64" xfId="0" applyFont="1" applyFill="1" applyBorder="1" applyAlignment="1">
      <alignment vertical="center"/>
    </xf>
    <xf numFmtId="0" fontId="24" fillId="6" borderId="65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0" fillId="16" borderId="38" xfId="0" applyFont="1" applyFill="1" applyBorder="1" applyAlignment="1">
      <alignment horizontal="left" vertical="center" wrapText="1"/>
    </xf>
    <xf numFmtId="164" fontId="10" fillId="16" borderId="35" xfId="0" applyNumberFormat="1" applyFont="1" applyFill="1" applyBorder="1" applyAlignment="1">
      <alignment horizontal="center" vertical="center"/>
    </xf>
    <xf numFmtId="10" fontId="10" fillId="16" borderId="63" xfId="0" applyNumberFormat="1" applyFont="1" applyFill="1" applyBorder="1" applyAlignment="1">
      <alignment horizontal="center" vertical="center" wrapText="1"/>
    </xf>
    <xf numFmtId="10" fontId="10" fillId="0" borderId="0" xfId="0" applyNumberFormat="1" applyFont="1" applyAlignment="1">
      <alignment vertical="center"/>
    </xf>
    <xf numFmtId="165" fontId="10" fillId="16" borderId="35" xfId="0" applyNumberFormat="1" applyFont="1" applyFill="1" applyBorder="1" applyAlignment="1">
      <alignment horizontal="center" vertical="center"/>
    </xf>
    <xf numFmtId="0" fontId="34" fillId="0" borderId="34" xfId="0" applyFont="1" applyBorder="1" applyAlignment="1">
      <alignment horizontal="left" vertical="center" wrapText="1"/>
    </xf>
    <xf numFmtId="165" fontId="24" fillId="0" borderId="62" xfId="0" applyNumberFormat="1" applyFont="1" applyBorder="1" applyAlignment="1">
      <alignment horizontal="center" vertical="center" wrapText="1"/>
    </xf>
    <xf numFmtId="0" fontId="50" fillId="16" borderId="38" xfId="0" applyFont="1" applyFill="1" applyBorder="1" applyAlignment="1">
      <alignment horizontal="left" vertical="center" wrapText="1"/>
    </xf>
    <xf numFmtId="164" fontId="50" fillId="16" borderId="35" xfId="0" applyNumberFormat="1" applyFont="1" applyFill="1" applyBorder="1" applyAlignment="1">
      <alignment horizontal="center" vertical="center"/>
    </xf>
    <xf numFmtId="10" fontId="50" fillId="16" borderId="63" xfId="0" applyNumberFormat="1" applyFont="1" applyFill="1" applyBorder="1" applyAlignment="1">
      <alignment horizontal="center" vertical="center" wrapText="1"/>
    </xf>
    <xf numFmtId="10" fontId="24" fillId="0" borderId="30" xfId="0" applyNumberFormat="1" applyFont="1" applyBorder="1" applyAlignment="1">
      <alignment horizontal="center" vertical="center" wrapText="1"/>
    </xf>
    <xf numFmtId="0" fontId="10" fillId="4" borderId="28" xfId="0" applyFont="1" applyFill="1" applyBorder="1" applyAlignment="1">
      <alignment vertical="center"/>
    </xf>
    <xf numFmtId="165" fontId="10" fillId="4" borderId="13" xfId="0" applyNumberFormat="1" applyFont="1" applyFill="1" applyBorder="1" applyAlignment="1">
      <alignment horizontal="center" vertical="center"/>
    </xf>
    <xf numFmtId="10" fontId="10" fillId="4" borderId="30" xfId="0" applyNumberFormat="1" applyFont="1" applyFill="1" applyBorder="1" applyAlignment="1">
      <alignment horizontal="right" vertical="center"/>
    </xf>
    <xf numFmtId="10" fontId="10" fillId="4" borderId="30" xfId="0" applyNumberFormat="1" applyFont="1" applyFill="1" applyBorder="1" applyAlignment="1">
      <alignment horizontal="center" vertical="center"/>
    </xf>
    <xf numFmtId="10" fontId="24" fillId="0" borderId="30" xfId="0" applyNumberFormat="1" applyFont="1" applyBorder="1" applyAlignment="1">
      <alignment vertical="center"/>
    </xf>
    <xf numFmtId="10" fontId="24" fillId="0" borderId="30" xfId="0" applyNumberFormat="1" applyFont="1" applyBorder="1" applyAlignment="1">
      <alignment horizontal="center" vertical="center"/>
    </xf>
    <xf numFmtId="0" fontId="10" fillId="4" borderId="55" xfId="0" applyFont="1" applyFill="1" applyBorder="1" applyAlignment="1">
      <alignment vertical="center"/>
    </xf>
    <xf numFmtId="165" fontId="10" fillId="4" borderId="23" xfId="0" applyNumberFormat="1" applyFont="1" applyFill="1" applyBorder="1" applyAlignment="1">
      <alignment vertical="center"/>
    </xf>
    <xf numFmtId="10" fontId="10" fillId="4" borderId="56" xfId="0" applyNumberFormat="1" applyFont="1" applyFill="1" applyBorder="1" applyAlignment="1">
      <alignment vertical="center"/>
    </xf>
    <xf numFmtId="165" fontId="10" fillId="4" borderId="23" xfId="0" applyNumberFormat="1" applyFont="1" applyFill="1" applyBorder="1" applyAlignment="1">
      <alignment horizontal="center" vertical="center"/>
    </xf>
    <xf numFmtId="10" fontId="10" fillId="4" borderId="56" xfId="0" applyNumberFormat="1" applyFont="1" applyFill="1" applyBorder="1" applyAlignment="1">
      <alignment horizontal="center" vertical="center"/>
    </xf>
    <xf numFmtId="164" fontId="24" fillId="6" borderId="35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7" fillId="0" borderId="3" xfId="0" applyFont="1" applyBorder="1"/>
    <xf numFmtId="0" fontId="7" fillId="0" borderId="5" xfId="0" applyFont="1" applyBorder="1"/>
    <xf numFmtId="0" fontId="14" fillId="3" borderId="8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1" xfId="0" applyFont="1" applyBorder="1"/>
    <xf numFmtId="0" fontId="16" fillId="7" borderId="17" xfId="0" applyFont="1" applyFill="1" applyBorder="1" applyAlignment="1">
      <alignment horizontal="center" vertical="center"/>
    </xf>
    <xf numFmtId="0" fontId="7" fillId="0" borderId="18" xfId="0" applyFont="1" applyBorder="1"/>
    <xf numFmtId="0" fontId="7" fillId="0" borderId="19" xfId="0" applyFont="1" applyBorder="1"/>
    <xf numFmtId="0" fontId="9" fillId="10" borderId="17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5" fillId="3" borderId="2" xfId="0" applyFont="1" applyFill="1" applyBorder="1" applyAlignment="1">
      <alignment horizontal="center" vertical="center" wrapText="1"/>
    </xf>
    <xf numFmtId="0" fontId="43" fillId="3" borderId="17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wrapText="1"/>
    </xf>
    <xf numFmtId="0" fontId="32" fillId="4" borderId="12" xfId="0" applyFont="1" applyFill="1" applyBorder="1" applyAlignment="1">
      <alignment horizontal="center" wrapText="1"/>
    </xf>
    <xf numFmtId="0" fontId="7" fillId="0" borderId="14" xfId="0" applyFont="1" applyBorder="1"/>
    <xf numFmtId="0" fontId="46" fillId="9" borderId="10" xfId="0" applyFont="1" applyFill="1" applyBorder="1" applyAlignment="1">
      <alignment horizontal="center" vertical="center"/>
    </xf>
    <xf numFmtId="0" fontId="7" fillId="0" borderId="31" xfId="0" applyFont="1" applyBorder="1"/>
    <xf numFmtId="0" fontId="7" fillId="0" borderId="58" xfId="0" applyFont="1" applyBorder="1"/>
    <xf numFmtId="0" fontId="40" fillId="19" borderId="31" xfId="0" applyFont="1" applyFill="1" applyBorder="1" applyAlignment="1">
      <alignment horizontal="center" vertical="center"/>
    </xf>
    <xf numFmtId="0" fontId="47" fillId="3" borderId="17" xfId="0" applyFont="1" applyFill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4" borderId="12" xfId="0" applyFont="1" applyFill="1" applyBorder="1" applyAlignment="1">
      <alignment horizontal="center" vertical="center" wrapText="1"/>
    </xf>
    <xf numFmtId="0" fontId="27" fillId="13" borderId="25" xfId="0" applyFont="1" applyFill="1" applyBorder="1" applyAlignment="1">
      <alignment horizontal="center" vertical="center"/>
    </xf>
    <xf numFmtId="0" fontId="7" fillId="0" borderId="32" xfId="0" applyFont="1" applyBorder="1"/>
    <xf numFmtId="0" fontId="7" fillId="0" borderId="36" xfId="0" applyFont="1" applyBorder="1"/>
    <xf numFmtId="0" fontId="7" fillId="0" borderId="21" xfId="0" applyFont="1" applyBorder="1"/>
    <xf numFmtId="0" fontId="36" fillId="3" borderId="26" xfId="0" applyFont="1" applyFill="1" applyBorder="1" applyAlignment="1">
      <alignment horizontal="center" vertical="center" wrapText="1"/>
    </xf>
    <xf numFmtId="0" fontId="7" fillId="0" borderId="54" xfId="0" applyFont="1" applyBorder="1"/>
    <xf numFmtId="0" fontId="14" fillId="3" borderId="17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26" fillId="5" borderId="17" xfId="0" applyFont="1" applyFill="1" applyBorder="1" applyAlignment="1">
      <alignment horizontal="center"/>
    </xf>
    <xf numFmtId="0" fontId="35" fillId="3" borderId="47" xfId="0" applyFont="1" applyFill="1" applyBorder="1" applyAlignment="1">
      <alignment horizontal="center" vertical="center"/>
    </xf>
    <xf numFmtId="0" fontId="7" fillId="0" borderId="48" xfId="0" applyFont="1" applyBorder="1"/>
    <xf numFmtId="0" fontId="8" fillId="3" borderId="4" xfId="0" applyFont="1" applyFill="1" applyBorder="1" applyAlignment="1">
      <alignment horizontal="center" vertical="center"/>
    </xf>
    <xf numFmtId="0" fontId="7" fillId="0" borderId="6" xfId="0" applyFont="1" applyBorder="1"/>
    <xf numFmtId="0" fontId="14" fillId="3" borderId="4" xfId="0" applyFont="1" applyFill="1" applyBorder="1" applyAlignment="1">
      <alignment horizontal="center" vertical="center"/>
    </xf>
    <xf numFmtId="0" fontId="10" fillId="20" borderId="59" xfId="0" applyFont="1" applyFill="1" applyBorder="1" applyAlignment="1">
      <alignment horizontal="center" vertical="center" wrapText="1"/>
    </xf>
    <xf numFmtId="0" fontId="7" fillId="0" borderId="60" xfId="0" applyFont="1" applyBorder="1"/>
    <xf numFmtId="0" fontId="5" fillId="3" borderId="66" xfId="0" applyFont="1" applyFill="1" applyBorder="1" applyAlignment="1">
      <alignment horizontal="center" vertical="center" wrapText="1"/>
    </xf>
    <xf numFmtId="0" fontId="7" fillId="0" borderId="66" xfId="0" applyFont="1" applyBorder="1"/>
    <xf numFmtId="0" fontId="10" fillId="4" borderId="66" xfId="0" applyFont="1" applyFill="1" applyBorder="1" applyAlignment="1">
      <alignment horizontal="center" vertical="center" wrapText="1"/>
    </xf>
    <xf numFmtId="0" fontId="13" fillId="5" borderId="66" xfId="0" applyFont="1" applyFill="1" applyBorder="1" applyAlignment="1">
      <alignment horizontal="center" vertical="center"/>
    </xf>
    <xf numFmtId="0" fontId="13" fillId="5" borderId="66" xfId="0" applyFont="1" applyFill="1" applyBorder="1" applyAlignment="1">
      <alignment horizontal="center" vertical="center" wrapText="1"/>
    </xf>
    <xf numFmtId="0" fontId="0" fillId="0" borderId="66" xfId="0" applyFont="1" applyBorder="1" applyAlignment="1"/>
    <xf numFmtId="0" fontId="10" fillId="4" borderId="66" xfId="0" applyFont="1" applyFill="1" applyBorder="1" applyAlignment="1">
      <alignment horizontal="center" vertical="center"/>
    </xf>
    <xf numFmtId="0" fontId="10" fillId="4" borderId="66" xfId="0" applyFont="1" applyFill="1" applyBorder="1" applyAlignment="1">
      <alignment horizontal="center" vertical="center" wrapText="1"/>
    </xf>
    <xf numFmtId="0" fontId="3" fillId="12" borderId="46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164" fontId="24" fillId="0" borderId="35" xfId="0" applyNumberFormat="1" applyFont="1" applyFill="1" applyBorder="1" applyAlignment="1">
      <alignment horizontal="center" vertical="center"/>
    </xf>
    <xf numFmtId="0" fontId="24" fillId="0" borderId="67" xfId="0" applyFont="1" applyBorder="1" applyAlignment="1">
      <alignment horizontal="left" vertical="center" wrapText="1"/>
    </xf>
    <xf numFmtId="0" fontId="24" fillId="6" borderId="67" xfId="0" applyFont="1" applyFill="1" applyBorder="1" applyAlignment="1">
      <alignment horizontal="left" vertical="center" wrapText="1"/>
    </xf>
    <xf numFmtId="164" fontId="24" fillId="0" borderId="66" xfId="0" applyNumberFormat="1" applyFont="1" applyFill="1" applyBorder="1" applyAlignment="1">
      <alignment horizontal="center" vertical="center"/>
    </xf>
    <xf numFmtId="0" fontId="24" fillId="0" borderId="34" xfId="0" applyFont="1" applyFill="1" applyBorder="1" applyAlignment="1">
      <alignment horizontal="left" vertical="center" wrapText="1"/>
    </xf>
    <xf numFmtId="165" fontId="24" fillId="0" borderId="35" xfId="0" applyNumberFormat="1" applyFont="1" applyFill="1" applyBorder="1" applyAlignment="1">
      <alignment horizontal="center" vertical="center"/>
    </xf>
    <xf numFmtId="0" fontId="24" fillId="0" borderId="38" xfId="0" applyFont="1" applyFill="1" applyBorder="1" applyAlignment="1">
      <alignment horizontal="left" vertical="center" wrapText="1"/>
    </xf>
    <xf numFmtId="0" fontId="24" fillId="0" borderId="66" xfId="0" applyFont="1" applyFill="1" applyBorder="1" applyAlignment="1">
      <alignment horizontal="left" vertical="center" wrapText="1"/>
    </xf>
    <xf numFmtId="10" fontId="24" fillId="0" borderId="66" xfId="0" applyNumberFormat="1" applyFont="1" applyFill="1" applyBorder="1" applyAlignment="1">
      <alignment horizontal="center" vertical="center" wrapText="1"/>
    </xf>
    <xf numFmtId="167" fontId="28" fillId="0" borderId="66" xfId="0" applyNumberFormat="1" applyFont="1" applyFill="1" applyBorder="1" applyAlignment="1">
      <alignment vertical="center"/>
    </xf>
    <xf numFmtId="0" fontId="10" fillId="20" borderId="66" xfId="0" applyFont="1" applyFill="1" applyBorder="1" applyAlignment="1">
      <alignment horizontal="center" vertical="center" wrapText="1"/>
    </xf>
    <xf numFmtId="0" fontId="10" fillId="11" borderId="66" xfId="0" applyFont="1" applyFill="1" applyBorder="1" applyAlignment="1">
      <alignment horizontal="center" vertical="center" wrapText="1"/>
    </xf>
    <xf numFmtId="164" fontId="24" fillId="0" borderId="68" xfId="0" applyNumberFormat="1" applyFont="1" applyFill="1" applyBorder="1" applyAlignment="1">
      <alignment horizontal="center" vertical="center"/>
    </xf>
    <xf numFmtId="10" fontId="24" fillId="0" borderId="63" xfId="0" applyNumberFormat="1" applyFont="1" applyBorder="1" applyAlignment="1">
      <alignment horizontal="center" vertical="center" wrapText="1"/>
    </xf>
    <xf numFmtId="0" fontId="10" fillId="20" borderId="66" xfId="0" applyFont="1" applyFill="1" applyBorder="1" applyAlignment="1">
      <alignment horizontal="center" vertical="center" wrapText="1"/>
    </xf>
    <xf numFmtId="0" fontId="24" fillId="0" borderId="66" xfId="0" applyFont="1" applyBorder="1" applyAlignment="1">
      <alignment horizontal="left" vertical="center" wrapText="1"/>
    </xf>
    <xf numFmtId="10" fontId="24" fillId="0" borderId="66" xfId="0" applyNumberFormat="1" applyFont="1" applyBorder="1" applyAlignment="1">
      <alignment horizontal="center" vertical="center" wrapText="1"/>
    </xf>
    <xf numFmtId="0" fontId="24" fillId="0" borderId="66" xfId="0" applyFont="1" applyBorder="1" applyAlignment="1">
      <alignment vertical="center" wrapText="1"/>
    </xf>
    <xf numFmtId="164" fontId="24" fillId="2" borderId="66" xfId="0" applyNumberFormat="1" applyFont="1" applyFill="1" applyBorder="1" applyAlignment="1">
      <alignment horizontal="center" vertical="center"/>
    </xf>
    <xf numFmtId="10" fontId="24" fillId="0" borderId="66" xfId="0" applyNumberFormat="1" applyFont="1" applyBorder="1" applyAlignment="1">
      <alignment horizontal="center" vertical="center"/>
    </xf>
    <xf numFmtId="165" fontId="24" fillId="0" borderId="66" xfId="0" applyNumberFormat="1" applyFont="1" applyBorder="1" applyAlignment="1">
      <alignment vertical="center"/>
    </xf>
    <xf numFmtId="164" fontId="10" fillId="14" borderId="66" xfId="0" applyNumberFormat="1" applyFont="1" applyFill="1" applyBorder="1" applyAlignment="1">
      <alignment horizontal="center" vertical="center"/>
    </xf>
    <xf numFmtId="10" fontId="10" fillId="14" borderId="66" xfId="0" applyNumberFormat="1" applyFont="1" applyFill="1" applyBorder="1" applyAlignment="1">
      <alignment horizontal="center" vertical="center"/>
    </xf>
    <xf numFmtId="165" fontId="24" fillId="2" borderId="66" xfId="0" applyNumberFormat="1" applyFont="1" applyFill="1" applyBorder="1" applyAlignment="1">
      <alignment horizontal="right" vertical="center"/>
    </xf>
    <xf numFmtId="165" fontId="24" fillId="0" borderId="66" xfId="0" applyNumberFormat="1" applyFont="1" applyBorder="1" applyAlignment="1">
      <alignment horizontal="right" vertical="center"/>
    </xf>
    <xf numFmtId="0" fontId="24" fillId="6" borderId="66" xfId="0" applyFont="1" applyFill="1" applyBorder="1" applyAlignment="1">
      <alignment horizontal="left" vertical="center" wrapText="1"/>
    </xf>
    <xf numFmtId="0" fontId="10" fillId="16" borderId="66" xfId="0" applyFont="1" applyFill="1" applyBorder="1" applyAlignment="1">
      <alignment vertical="center"/>
    </xf>
    <xf numFmtId="165" fontId="10" fillId="16" borderId="66" xfId="0" applyNumberFormat="1" applyFont="1" applyFill="1" applyBorder="1" applyAlignment="1">
      <alignment horizontal="right" vertical="center"/>
    </xf>
    <xf numFmtId="10" fontId="10" fillId="4" borderId="66" xfId="0" applyNumberFormat="1" applyFont="1" applyFill="1" applyBorder="1" applyAlignment="1">
      <alignment horizontal="center" vertical="center"/>
    </xf>
    <xf numFmtId="164" fontId="10" fillId="16" borderId="66" xfId="0" applyNumberFormat="1" applyFont="1" applyFill="1" applyBorder="1" applyAlignment="1">
      <alignment horizontal="center" vertical="center"/>
    </xf>
    <xf numFmtId="10" fontId="10" fillId="17" borderId="66" xfId="0" applyNumberFormat="1" applyFont="1" applyFill="1" applyBorder="1" applyAlignment="1">
      <alignment horizontal="center" vertical="center"/>
    </xf>
    <xf numFmtId="0" fontId="34" fillId="16" borderId="66" xfId="0" applyFont="1" applyFill="1" applyBorder="1" applyAlignment="1">
      <alignment vertical="center" wrapText="1"/>
    </xf>
    <xf numFmtId="165" fontId="24" fillId="16" borderId="66" xfId="0" applyNumberFormat="1" applyFont="1" applyFill="1" applyBorder="1" applyAlignment="1">
      <alignment horizontal="right" vertical="center"/>
    </xf>
    <xf numFmtId="10" fontId="10" fillId="16" borderId="66" xfId="0" applyNumberFormat="1" applyFont="1" applyFill="1" applyBorder="1" applyAlignment="1">
      <alignment horizontal="center" vertical="center"/>
    </xf>
    <xf numFmtId="164" fontId="10" fillId="17" borderId="66" xfId="0" applyNumberFormat="1" applyFont="1" applyFill="1" applyBorder="1" applyAlignment="1">
      <alignment horizontal="center" vertical="center"/>
    </xf>
    <xf numFmtId="165" fontId="24" fillId="2" borderId="66" xfId="0" applyNumberFormat="1" applyFont="1" applyFill="1" applyBorder="1" applyAlignment="1">
      <alignment horizontal="right"/>
    </xf>
    <xf numFmtId="0" fontId="24" fillId="0" borderId="66" xfId="0" applyFont="1" applyBorder="1" applyAlignment="1">
      <alignment vertical="center"/>
    </xf>
    <xf numFmtId="0" fontId="35" fillId="3" borderId="66" xfId="0" applyFont="1" applyFill="1" applyBorder="1" applyAlignment="1">
      <alignment horizontal="center" vertical="center"/>
    </xf>
    <xf numFmtId="164" fontId="35" fillId="3" borderId="66" xfId="0" applyNumberFormat="1" applyFont="1" applyFill="1" applyBorder="1" applyAlignment="1">
      <alignment horizontal="right" vertical="center"/>
    </xf>
    <xf numFmtId="10" fontId="35" fillId="3" borderId="66" xfId="0" applyNumberFormat="1" applyFont="1" applyFill="1" applyBorder="1" applyAlignment="1">
      <alignment horizontal="center" vertical="center"/>
    </xf>
    <xf numFmtId="165" fontId="35" fillId="3" borderId="66" xfId="0" applyNumberFormat="1" applyFont="1" applyFill="1" applyBorder="1" applyAlignment="1">
      <alignment horizontal="right" vertical="center"/>
    </xf>
    <xf numFmtId="164" fontId="35" fillId="3" borderId="66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 wrapText="1"/>
    </xf>
    <xf numFmtId="0" fontId="5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showGridLines="0" tabSelected="1" zoomScale="70" zoomScaleNormal="70" workbookViewId="0">
      <pane ySplit="5" topLeftCell="A6" activePane="bottomLeft" state="frozen"/>
      <selection pane="bottomLeft" activeCell="G12" sqref="G12"/>
    </sheetView>
  </sheetViews>
  <sheetFormatPr defaultColWidth="14.42578125" defaultRowHeight="15" customHeight="1"/>
  <cols>
    <col min="1" max="1" width="91.5703125" customWidth="1"/>
    <col min="2" max="2" width="25" customWidth="1"/>
    <col min="3" max="3" width="12.42578125" customWidth="1"/>
    <col min="4" max="4" width="9" customWidth="1"/>
    <col min="5" max="5" width="18" customWidth="1"/>
    <col min="6" max="7" width="12.5703125" customWidth="1"/>
    <col min="8" max="8" width="18" customWidth="1"/>
    <col min="9" max="9" width="9.140625" customWidth="1"/>
    <col min="10" max="10" width="16.140625" customWidth="1"/>
    <col min="11" max="11" width="6.85546875" customWidth="1"/>
    <col min="12" max="19" width="12.5703125" customWidth="1"/>
  </cols>
  <sheetData>
    <row r="1" spans="1:23">
      <c r="A1" s="6"/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ht="21">
      <c r="A2" s="14" t="s">
        <v>127</v>
      </c>
      <c r="B2" s="15"/>
      <c r="C2" s="17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21">
      <c r="A3" s="305" t="s">
        <v>128</v>
      </c>
      <c r="B3" s="306"/>
      <c r="C3" s="30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>
      <c r="A4" s="6"/>
      <c r="B4" s="8"/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ht="31.5" customHeight="1">
      <c r="A5" s="308" t="s">
        <v>12</v>
      </c>
      <c r="B5" s="309"/>
      <c r="C5" s="310"/>
      <c r="D5" s="23"/>
      <c r="E5" s="23"/>
      <c r="F5" s="23"/>
      <c r="G5" s="2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 spans="1:23" ht="22.5" customHeight="1">
      <c r="A6" s="311" t="s">
        <v>129</v>
      </c>
      <c r="B6" s="312"/>
      <c r="C6" s="313"/>
      <c r="D6" s="2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ht="38.25" customHeight="1">
      <c r="A7" s="314" t="s">
        <v>31</v>
      </c>
      <c r="B7" s="312"/>
      <c r="C7" s="313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ht="18">
      <c r="A8" s="33" t="s">
        <v>34</v>
      </c>
      <c r="B8" s="33" t="s">
        <v>36</v>
      </c>
      <c r="C8" s="33" t="s">
        <v>37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ht="78">
      <c r="A9" s="36" t="s">
        <v>38</v>
      </c>
      <c r="B9" s="37">
        <v>0</v>
      </c>
      <c r="C9" s="38" t="e">
        <f>B9/B24</f>
        <v>#DIV/0!</v>
      </c>
      <c r="D9" s="9"/>
      <c r="E9" s="9"/>
      <c r="F9" s="9"/>
      <c r="G9" s="9"/>
      <c r="H9" s="40"/>
      <c r="I9" s="4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ht="58.5">
      <c r="A10" s="36" t="s">
        <v>42</v>
      </c>
      <c r="B10" s="37">
        <v>0</v>
      </c>
      <c r="C10" s="43" t="e">
        <f>B10/B24</f>
        <v>#DIV/0!</v>
      </c>
      <c r="D10" s="9"/>
      <c r="E10" s="47"/>
      <c r="F10" s="9"/>
      <c r="G10" s="9"/>
      <c r="H10" s="40"/>
      <c r="I10" s="41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ht="24" customHeight="1">
      <c r="A11" s="36" t="s">
        <v>43</v>
      </c>
      <c r="B11" s="37">
        <v>0</v>
      </c>
      <c r="C11" s="43" t="e">
        <f>B11/B24</f>
        <v>#DIV/0!</v>
      </c>
      <c r="D11" s="9"/>
      <c r="E11" s="54"/>
      <c r="F11" s="9"/>
      <c r="G11" s="9"/>
      <c r="H11" s="40"/>
      <c r="I11" s="4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ht="24" customHeight="1">
      <c r="A12" s="63" t="s">
        <v>44</v>
      </c>
      <c r="B12" s="37">
        <v>0</v>
      </c>
      <c r="C12" s="43" t="e">
        <f>B12/B24</f>
        <v>#DIV/0!</v>
      </c>
      <c r="D12" s="9"/>
      <c r="E12" s="54"/>
      <c r="F12" s="9"/>
      <c r="G12" s="9"/>
      <c r="H12" s="40"/>
      <c r="I12" s="41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spans="1:23" ht="26.25" customHeight="1">
      <c r="A13" s="63" t="s">
        <v>45</v>
      </c>
      <c r="B13" s="37"/>
      <c r="C13" s="43" t="e">
        <f>B13/B24</f>
        <v>#DIV/0!</v>
      </c>
      <c r="D13" s="9"/>
      <c r="E13" s="54"/>
      <c r="F13" s="9"/>
      <c r="G13" s="9"/>
      <c r="H13" s="40"/>
      <c r="I13" s="4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spans="1:23" ht="21.75" customHeight="1">
      <c r="A14" s="63" t="s">
        <v>46</v>
      </c>
      <c r="B14" s="37">
        <v>0</v>
      </c>
      <c r="C14" s="43" t="e">
        <f>B14/$B$24</f>
        <v>#DIV/0!</v>
      </c>
      <c r="D14" s="9"/>
      <c r="E14" s="54"/>
      <c r="F14" s="9"/>
      <c r="G14" s="9"/>
      <c r="H14" s="40"/>
      <c r="I14" s="41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spans="1:23" ht="27.75" customHeight="1">
      <c r="A15" s="68" t="s">
        <v>47</v>
      </c>
      <c r="B15" s="69">
        <f>SUM(B9:B14)</f>
        <v>0</v>
      </c>
      <c r="C15" s="71" t="e">
        <f>B15/B24</f>
        <v>#DIV/0!</v>
      </c>
      <c r="D15" s="9"/>
      <c r="E15" s="54"/>
      <c r="F15" s="9"/>
      <c r="G15" s="9"/>
      <c r="H15" s="72"/>
      <c r="I15" s="73"/>
      <c r="J15" s="23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spans="1:23" ht="41.25" customHeight="1">
      <c r="A16" s="74" t="s">
        <v>48</v>
      </c>
      <c r="B16" s="77"/>
      <c r="C16" s="43" t="e">
        <f>B16/B24</f>
        <v>#DIV/0!</v>
      </c>
      <c r="D16" s="9"/>
      <c r="E16" s="79"/>
      <c r="F16" s="9"/>
      <c r="G16" s="9"/>
      <c r="H16" s="40"/>
      <c r="I16" s="41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spans="1:23" ht="28.5" customHeight="1">
      <c r="A17" s="80" t="s">
        <v>49</v>
      </c>
      <c r="B17" s="77">
        <v>0</v>
      </c>
      <c r="C17" s="85" t="e">
        <f>B17/B24</f>
        <v>#DIV/0!</v>
      </c>
      <c r="D17" s="9"/>
      <c r="E17" s="9"/>
      <c r="F17" s="9"/>
      <c r="G17" s="9"/>
      <c r="H17" s="40"/>
      <c r="I17" s="4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spans="1:23" ht="27" customHeight="1">
      <c r="A18" s="80" t="s">
        <v>51</v>
      </c>
      <c r="B18" s="77">
        <v>0</v>
      </c>
      <c r="C18" s="85" t="e">
        <f>B18/B24</f>
        <v>#DIV/0!</v>
      </c>
      <c r="D18" s="9"/>
      <c r="E18" s="9"/>
      <c r="F18" s="9"/>
      <c r="G18" s="9"/>
      <c r="H18" s="40"/>
      <c r="I18" s="41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spans="1:23" ht="25.5" customHeight="1">
      <c r="A19" s="80" t="s">
        <v>52</v>
      </c>
      <c r="B19" s="37"/>
      <c r="C19" s="43" t="e">
        <f>B19/B24</f>
        <v>#DIV/0!</v>
      </c>
      <c r="D19" s="9"/>
      <c r="E19" s="9"/>
      <c r="F19" s="9"/>
      <c r="G19" s="9"/>
      <c r="H19" s="40"/>
      <c r="I19" s="41"/>
      <c r="J19" s="72"/>
      <c r="K19" s="73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spans="1:23" ht="28.5" customHeight="1">
      <c r="A20" s="92" t="s">
        <v>54</v>
      </c>
      <c r="B20" s="37">
        <v>900</v>
      </c>
      <c r="C20" s="43" t="e">
        <f>B20/B24</f>
        <v>#DIV/0!</v>
      </c>
      <c r="D20" s="9"/>
      <c r="E20" s="9"/>
      <c r="F20" s="9"/>
      <c r="G20" s="9"/>
      <c r="H20" s="40"/>
      <c r="I20" s="41"/>
      <c r="J20" s="72"/>
      <c r="K20" s="73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spans="1:23" ht="24" customHeight="1">
      <c r="A21" s="68" t="s">
        <v>55</v>
      </c>
      <c r="B21" s="95">
        <f>B15+B16</f>
        <v>0</v>
      </c>
      <c r="C21" s="71" t="e">
        <f>B21/B24</f>
        <v>#DIV/0!</v>
      </c>
      <c r="D21" s="9"/>
      <c r="E21" s="9"/>
      <c r="F21" s="9"/>
      <c r="G21" s="9"/>
      <c r="H21" s="72"/>
      <c r="I21" s="7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spans="1:23" ht="29.25" customHeight="1">
      <c r="A22" s="63" t="s">
        <v>58</v>
      </c>
      <c r="B22" s="97"/>
      <c r="C22" s="43" t="e">
        <f>B22/B24</f>
        <v>#DIV/0!</v>
      </c>
      <c r="D22" s="9"/>
      <c r="E22" s="9"/>
      <c r="F22" s="9"/>
      <c r="G22" s="9"/>
      <c r="H22" s="40"/>
      <c r="I22" s="41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spans="1:23" ht="27" customHeight="1">
      <c r="A23" s="100" t="s">
        <v>59</v>
      </c>
      <c r="B23" s="103"/>
      <c r="C23" s="119" t="e">
        <f>B23/B24</f>
        <v>#DIV/0!</v>
      </c>
      <c r="D23" s="9"/>
      <c r="E23" s="9"/>
      <c r="F23" s="9"/>
      <c r="G23" s="9"/>
      <c r="H23" s="40"/>
      <c r="I23" s="4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spans="1:23" ht="30.75" customHeight="1">
      <c r="A24" s="122" t="s">
        <v>60</v>
      </c>
      <c r="B24" s="124">
        <f t="shared" ref="B24:C24" si="0">B21+B22+B23</f>
        <v>0</v>
      </c>
      <c r="C24" s="126" t="e">
        <f t="shared" si="0"/>
        <v>#DIV/0!</v>
      </c>
      <c r="D24" s="9"/>
      <c r="E24" s="9"/>
      <c r="F24" s="9"/>
      <c r="G24" s="9"/>
      <c r="H24" s="72"/>
      <c r="I24" s="73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spans="1:23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spans="1:23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spans="1:23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spans="1:23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spans="1:23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spans="1:23" ht="15.75" customHeight="1">
      <c r="A30" s="9"/>
      <c r="B30" s="12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spans="1:23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spans="1:23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spans="1:2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spans="1:23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spans="1:23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spans="1:23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spans="1:23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spans="1:23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spans="1:23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spans="1:23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spans="1:23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spans="1:23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spans="1:2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3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3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3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3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spans="1:23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spans="1:23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spans="1:23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spans="1:23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spans="1:23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spans="1:2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spans="1:23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spans="1:23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spans="1:23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spans="1:23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spans="1:23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spans="1:23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spans="1:23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spans="1:23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spans="1:23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spans="1:2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spans="1:23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spans="1:23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spans="1:23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spans="1:23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spans="1:23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spans="1:23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spans="1:23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spans="1:23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spans="1:23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spans="1:2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spans="1:23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spans="1:23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spans="1:23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spans="1:23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spans="1:23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spans="1:23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spans="1:23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spans="1:23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spans="1:23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spans="1:2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spans="1:23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spans="1:23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spans="1:23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spans="1:23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spans="1:23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spans="1:23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spans="1:23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spans="1:23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spans="1:23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spans="1:2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spans="1:23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spans="1:23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spans="1:23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spans="1:23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spans="1:23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spans="1:23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spans="1:23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spans="1:23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spans="1:23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spans="1:2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spans="1:23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spans="1:23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spans="1:23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spans="1:23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spans="1:23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spans="1:23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spans="1:23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spans="1:23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spans="1:23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spans="1:2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spans="1:23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spans="1:23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spans="1:23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spans="1:23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spans="1:23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spans="1:23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spans="1:23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spans="1:23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spans="1: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spans="1:23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spans="1:23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spans="1:23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spans="1:23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spans="1:23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spans="1:23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spans="1:23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spans="1:23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spans="1:2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spans="1:23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spans="1:23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spans="1:23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spans="1:23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spans="1:23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spans="1:23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spans="1:23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spans="1:23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spans="1:2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spans="1:23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spans="1:23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spans="1:23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spans="1:23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spans="1:23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spans="1:23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spans="1:23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spans="1:23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spans="1:23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spans="1:23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spans="1:23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spans="1:23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spans="1:23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spans="1:23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spans="1:2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spans="1:23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spans="1:23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spans="1:23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spans="1:23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spans="1:23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spans="1:23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spans="1:23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spans="1:23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spans="1:23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spans="1:2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spans="1:23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spans="1:23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spans="1:23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spans="1:23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spans="1:23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spans="1:23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spans="1:23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spans="1:23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spans="1:23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spans="1:2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spans="1:23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spans="1:23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spans="1:23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spans="1:23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spans="1:23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spans="1:23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spans="1:23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spans="1:23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spans="1:23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spans="1:2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spans="1:23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spans="1:23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spans="1:23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spans="1:23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spans="1:23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spans="1:23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spans="1:23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spans="1:23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spans="1:23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spans="1:2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spans="1:23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spans="1:23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spans="1:23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spans="1:23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spans="1:23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spans="1:23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spans="1:23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spans="1:23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</row>
    <row r="222" spans="1:23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</row>
    <row r="223" spans="1: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</row>
    <row r="224" spans="1:23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</row>
    <row r="225" spans="1:23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</row>
    <row r="226" spans="1:23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</row>
    <row r="227" spans="1:23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</row>
    <row r="228" spans="1:23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</row>
    <row r="229" spans="1:23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</row>
    <row r="230" spans="1:23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</row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3:C3"/>
    <mergeCell ref="A5:C5"/>
    <mergeCell ref="A6:C6"/>
    <mergeCell ref="A7:C7"/>
  </mergeCells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5" sqref="B5"/>
    </sheetView>
  </sheetViews>
  <sheetFormatPr defaultColWidth="14.42578125" defaultRowHeight="15" customHeight="1"/>
  <cols>
    <col min="1" max="1" width="65" customWidth="1"/>
    <col min="2" max="2" width="23.85546875" customWidth="1"/>
    <col min="3" max="3" width="12.28515625" customWidth="1"/>
    <col min="4" max="4" width="9.85546875" bestFit="1" customWidth="1"/>
    <col min="5" max="5" width="11" bestFit="1" customWidth="1"/>
    <col min="6" max="6" width="14" bestFit="1" customWidth="1"/>
    <col min="7" max="7" width="12.85546875" bestFit="1" customWidth="1"/>
    <col min="8" max="8" width="15.42578125" bestFit="1" customWidth="1"/>
    <col min="9" max="9" width="14.42578125" bestFit="1" customWidth="1"/>
    <col min="10" max="10" width="22" customWidth="1"/>
    <col min="11" max="11" width="19.140625" customWidth="1"/>
    <col min="12" max="12" width="11" customWidth="1"/>
    <col min="13" max="13" width="14.28515625" customWidth="1"/>
    <col min="14" max="14" width="12.5703125" customWidth="1"/>
  </cols>
  <sheetData>
    <row r="1" spans="1:2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7.5" customHeight="1">
      <c r="A2" s="346" t="s">
        <v>0</v>
      </c>
      <c r="B2" s="347"/>
      <c r="C2" s="347"/>
      <c r="D2" s="347"/>
      <c r="E2" s="347"/>
      <c r="F2" s="347"/>
      <c r="G2" s="347"/>
      <c r="H2" s="347"/>
      <c r="I2" s="347"/>
      <c r="J2" s="347"/>
      <c r="K2" s="347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21">
      <c r="A3" s="348" t="s">
        <v>2</v>
      </c>
      <c r="B3" s="347"/>
      <c r="C3" s="347"/>
      <c r="D3" s="349"/>
      <c r="E3" s="349"/>
      <c r="F3" s="349"/>
      <c r="G3" s="349"/>
      <c r="H3" s="349"/>
      <c r="I3" s="349"/>
      <c r="J3" s="350" t="s">
        <v>14</v>
      </c>
      <c r="K3" s="350" t="s">
        <v>18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37.5">
      <c r="A4" s="347"/>
      <c r="B4" s="351"/>
      <c r="C4" s="347"/>
      <c r="D4" s="352" t="s">
        <v>30</v>
      </c>
      <c r="E4" s="352" t="s">
        <v>32</v>
      </c>
      <c r="F4" s="352" t="s">
        <v>130</v>
      </c>
      <c r="G4" s="352" t="s">
        <v>131</v>
      </c>
      <c r="H4" s="352" t="s">
        <v>132</v>
      </c>
      <c r="I4" s="352" t="s">
        <v>133</v>
      </c>
      <c r="J4" s="353" t="s">
        <v>33</v>
      </c>
      <c r="K4" s="353" t="s">
        <v>35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spans="1:28" ht="75">
      <c r="A5" s="373" t="s">
        <v>40</v>
      </c>
      <c r="B5" s="374"/>
      <c r="C5" s="375" t="e">
        <f t="shared" ref="C5:C9" si="0">B5/$B$21</f>
        <v>#DIV/0!</v>
      </c>
      <c r="D5" s="376"/>
      <c r="E5" s="376"/>
      <c r="F5" s="376"/>
      <c r="G5" s="376"/>
      <c r="H5" s="376"/>
      <c r="I5" s="376"/>
      <c r="J5" s="377">
        <f t="shared" ref="J5:J10" si="1">SUM(D5:E5)</f>
        <v>0</v>
      </c>
      <c r="K5" s="378" t="e">
        <f>J5/J21</f>
        <v>#DIV/0!</v>
      </c>
      <c r="L5" s="62"/>
      <c r="M5" s="65"/>
      <c r="N5" s="65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</row>
    <row r="6" spans="1:28" ht="56.25">
      <c r="A6" s="373" t="s">
        <v>42</v>
      </c>
      <c r="B6" s="379"/>
      <c r="C6" s="375" t="e">
        <f t="shared" si="0"/>
        <v>#DIV/0!</v>
      </c>
      <c r="D6" s="380"/>
      <c r="E6" s="376"/>
      <c r="F6" s="376"/>
      <c r="G6" s="376"/>
      <c r="H6" s="376"/>
      <c r="I6" s="376"/>
      <c r="J6" s="377">
        <f t="shared" si="1"/>
        <v>0</v>
      </c>
      <c r="K6" s="378" t="e">
        <f>J6/J21</f>
        <v>#DIV/0!</v>
      </c>
      <c r="L6" s="62"/>
      <c r="M6" s="65"/>
      <c r="N6" s="65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</row>
    <row r="7" spans="1:28" ht="18.75">
      <c r="A7" s="371" t="s">
        <v>43</v>
      </c>
      <c r="B7" s="379"/>
      <c r="C7" s="375" t="e">
        <f t="shared" si="0"/>
        <v>#DIV/0!</v>
      </c>
      <c r="D7" s="380"/>
      <c r="E7" s="376"/>
      <c r="F7" s="376"/>
      <c r="G7" s="376"/>
      <c r="H7" s="376"/>
      <c r="I7" s="376"/>
      <c r="J7" s="377">
        <f t="shared" si="1"/>
        <v>0</v>
      </c>
      <c r="K7" s="378" t="e">
        <f>J7/J21</f>
        <v>#DIV/0!</v>
      </c>
      <c r="L7" s="62"/>
      <c r="M7" s="65"/>
      <c r="N7" s="65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 spans="1:28" ht="18.75">
      <c r="A8" s="371" t="s">
        <v>50</v>
      </c>
      <c r="B8" s="379"/>
      <c r="C8" s="375" t="e">
        <f t="shared" si="0"/>
        <v>#DIV/0!</v>
      </c>
      <c r="D8" s="380"/>
      <c r="E8" s="376"/>
      <c r="F8" s="376"/>
      <c r="G8" s="376"/>
      <c r="H8" s="376"/>
      <c r="I8" s="376"/>
      <c r="J8" s="377">
        <f t="shared" si="1"/>
        <v>0</v>
      </c>
      <c r="K8" s="378" t="e">
        <f>J8/J21</f>
        <v>#DIV/0!</v>
      </c>
      <c r="L8" s="62"/>
      <c r="M8" s="65"/>
      <c r="N8" s="91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 spans="1:28" ht="18.75">
      <c r="A9" s="381" t="s">
        <v>45</v>
      </c>
      <c r="B9" s="380"/>
      <c r="C9" s="375" t="e">
        <f t="shared" si="0"/>
        <v>#DIV/0!</v>
      </c>
      <c r="D9" s="380"/>
      <c r="E9" s="376"/>
      <c r="F9" s="376"/>
      <c r="G9" s="376"/>
      <c r="H9" s="376"/>
      <c r="I9" s="376"/>
      <c r="J9" s="377">
        <f t="shared" si="1"/>
        <v>0</v>
      </c>
      <c r="K9" s="378" t="e">
        <f>J9/J21</f>
        <v>#DIV/0!</v>
      </c>
      <c r="L9" s="62"/>
      <c r="M9" s="65"/>
      <c r="N9" s="65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</row>
    <row r="10" spans="1:28" ht="18.75">
      <c r="A10" s="371" t="s">
        <v>56</v>
      </c>
      <c r="B10" s="379" t="s">
        <v>57</v>
      </c>
      <c r="C10" s="375" t="e">
        <f>0/$B$21</f>
        <v>#DIV/0!</v>
      </c>
      <c r="D10" s="380"/>
      <c r="E10" s="376"/>
      <c r="F10" s="376"/>
      <c r="G10" s="376"/>
      <c r="H10" s="376"/>
      <c r="I10" s="376"/>
      <c r="J10" s="377">
        <f t="shared" si="1"/>
        <v>0</v>
      </c>
      <c r="K10" s="378" t="e">
        <f>J10/J21</f>
        <v>#DIV/0!</v>
      </c>
      <c r="L10" s="62"/>
      <c r="M10" s="65"/>
      <c r="N10" s="65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</row>
    <row r="11" spans="1:28" ht="18.75">
      <c r="A11" s="382" t="s">
        <v>47</v>
      </c>
      <c r="B11" s="383">
        <f>SUM(B5:B10)</f>
        <v>0</v>
      </c>
      <c r="C11" s="384" t="e">
        <f>B11/$B$21</f>
        <v>#DIV/0!</v>
      </c>
      <c r="D11" s="383">
        <f t="shared" ref="D11:J11" si="2">SUM(D5:D10)</f>
        <v>0</v>
      </c>
      <c r="E11" s="383">
        <f t="shared" si="2"/>
        <v>0</v>
      </c>
      <c r="F11" s="383"/>
      <c r="G11" s="383"/>
      <c r="H11" s="383"/>
      <c r="I11" s="383"/>
      <c r="J11" s="385">
        <f t="shared" si="2"/>
        <v>0</v>
      </c>
      <c r="K11" s="386" t="e">
        <f>J11/J21</f>
        <v>#DIV/0!</v>
      </c>
      <c r="L11" s="62"/>
      <c r="M11" s="65"/>
      <c r="N11" s="65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 spans="1:28" ht="37.5">
      <c r="A12" s="387" t="s">
        <v>48</v>
      </c>
      <c r="B12" s="388">
        <f>SUM(B13:B16)</f>
        <v>0</v>
      </c>
      <c r="C12" s="389" t="e">
        <f>B12/B21</f>
        <v>#DIV/0!</v>
      </c>
      <c r="D12" s="388">
        <f t="shared" ref="D12:K12" si="3">SUM(D13:D16)</f>
        <v>0</v>
      </c>
      <c r="E12" s="388">
        <f t="shared" si="3"/>
        <v>0</v>
      </c>
      <c r="F12" s="388"/>
      <c r="G12" s="388"/>
      <c r="H12" s="388"/>
      <c r="I12" s="388"/>
      <c r="J12" s="385">
        <f t="shared" si="3"/>
        <v>0</v>
      </c>
      <c r="K12" s="386" t="e">
        <f t="shared" si="3"/>
        <v>#DIV/0!</v>
      </c>
      <c r="L12" s="62"/>
      <c r="M12" s="65"/>
      <c r="N12" s="65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</row>
    <row r="13" spans="1:28" ht="18.75">
      <c r="A13" s="373" t="s">
        <v>61</v>
      </c>
      <c r="B13" s="380">
        <f>'DISPENDIO Geral Empresa'!B17</f>
        <v>0</v>
      </c>
      <c r="C13" s="375" t="e">
        <f t="shared" ref="C13:C14" si="4">B13/$B$21</f>
        <v>#DIV/0!</v>
      </c>
      <c r="D13" s="380"/>
      <c r="E13" s="380"/>
      <c r="F13" s="380"/>
      <c r="G13" s="380"/>
      <c r="H13" s="380"/>
      <c r="I13" s="380"/>
      <c r="J13" s="377">
        <f t="shared" ref="J13:J16" si="5">SUM(D13)</f>
        <v>0</v>
      </c>
      <c r="K13" s="378" t="e">
        <f>J13/J21</f>
        <v>#DIV/0!</v>
      </c>
      <c r="L13" s="62"/>
      <c r="M13" s="65"/>
      <c r="N13" s="65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 spans="1:28" ht="18.75">
      <c r="A14" s="373" t="s">
        <v>62</v>
      </c>
      <c r="B14" s="380"/>
      <c r="C14" s="375" t="e">
        <f t="shared" si="4"/>
        <v>#DIV/0!</v>
      </c>
      <c r="D14" s="380"/>
      <c r="E14" s="380"/>
      <c r="F14" s="380"/>
      <c r="G14" s="380"/>
      <c r="H14" s="380"/>
      <c r="I14" s="380"/>
      <c r="J14" s="377">
        <f t="shared" si="5"/>
        <v>0</v>
      </c>
      <c r="K14" s="378" t="e">
        <f>J14/J21</f>
        <v>#DIV/0!</v>
      </c>
      <c r="L14" s="62"/>
      <c r="M14" s="65"/>
      <c r="N14" s="65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 spans="1:28" ht="18.75">
      <c r="A15" s="373" t="s">
        <v>52</v>
      </c>
      <c r="B15" s="380"/>
      <c r="C15" s="375" t="e">
        <f>B15/B21</f>
        <v>#DIV/0!</v>
      </c>
      <c r="D15" s="380"/>
      <c r="E15" s="380"/>
      <c r="F15" s="380"/>
      <c r="G15" s="380"/>
      <c r="H15" s="380"/>
      <c r="I15" s="380"/>
      <c r="J15" s="377">
        <f t="shared" si="5"/>
        <v>0</v>
      </c>
      <c r="K15" s="378"/>
      <c r="L15" s="62"/>
      <c r="M15" s="65"/>
      <c r="N15" s="65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</row>
    <row r="16" spans="1:28" ht="18.75">
      <c r="A16" s="373" t="s">
        <v>63</v>
      </c>
      <c r="B16" s="380"/>
      <c r="C16" s="375" t="e">
        <f t="shared" ref="C16:C18" si="6">B16/$B$21</f>
        <v>#DIV/0!</v>
      </c>
      <c r="D16" s="380"/>
      <c r="E16" s="380"/>
      <c r="F16" s="380"/>
      <c r="G16" s="380"/>
      <c r="H16" s="380"/>
      <c r="I16" s="380"/>
      <c r="J16" s="377">
        <f t="shared" si="5"/>
        <v>0</v>
      </c>
      <c r="K16" s="378" t="e">
        <f>J16/J21</f>
        <v>#DIV/0!</v>
      </c>
      <c r="L16" s="62"/>
      <c r="M16" s="65"/>
      <c r="N16" s="65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</row>
    <row r="17" spans="1:28" ht="18.75">
      <c r="A17" s="382" t="s">
        <v>55</v>
      </c>
      <c r="B17" s="383">
        <f>SUM(B11,B16,B19,B20)</f>
        <v>0</v>
      </c>
      <c r="C17" s="384" t="e">
        <f t="shared" si="6"/>
        <v>#DIV/0!</v>
      </c>
      <c r="D17" s="383">
        <f t="shared" ref="D17:E17" si="7">SUM(D11:D12)</f>
        <v>0</v>
      </c>
      <c r="E17" s="383">
        <f t="shared" si="7"/>
        <v>0</v>
      </c>
      <c r="F17" s="383"/>
      <c r="G17" s="383"/>
      <c r="H17" s="383"/>
      <c r="I17" s="383"/>
      <c r="J17" s="390">
        <f>J11+J12</f>
        <v>0</v>
      </c>
      <c r="K17" s="386" t="e">
        <f>J17/J21</f>
        <v>#DIV/0!</v>
      </c>
      <c r="L17" s="62"/>
      <c r="M17" s="65"/>
      <c r="N17" s="65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</row>
    <row r="18" spans="1:28" ht="18.75">
      <c r="A18" s="382" t="s">
        <v>67</v>
      </c>
      <c r="B18" s="388">
        <f>SUM(B19:B20)</f>
        <v>0</v>
      </c>
      <c r="C18" s="384" t="e">
        <f t="shared" si="6"/>
        <v>#DIV/0!</v>
      </c>
      <c r="D18" s="383">
        <f t="shared" ref="D18:J18" si="8">SUM(D19:D20)</f>
        <v>0</v>
      </c>
      <c r="E18" s="383">
        <f t="shared" si="8"/>
        <v>0</v>
      </c>
      <c r="F18" s="383"/>
      <c r="G18" s="383"/>
      <c r="H18" s="383"/>
      <c r="I18" s="383"/>
      <c r="J18" s="390">
        <f t="shared" si="8"/>
        <v>0</v>
      </c>
      <c r="K18" s="386" t="e">
        <f>J18/J21</f>
        <v>#DIV/0!</v>
      </c>
      <c r="L18" s="62"/>
      <c r="M18" s="65"/>
      <c r="N18" s="65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 spans="1:28" ht="18.75">
      <c r="A19" s="373" t="s">
        <v>58</v>
      </c>
      <c r="B19" s="379"/>
      <c r="C19" s="375" t="e">
        <f>B19/B21</f>
        <v>#DIV/0!</v>
      </c>
      <c r="D19" s="391"/>
      <c r="E19" s="391"/>
      <c r="F19" s="391"/>
      <c r="G19" s="391"/>
      <c r="H19" s="391"/>
      <c r="I19" s="391"/>
      <c r="J19" s="377">
        <f t="shared" ref="J19:J20" si="9">SUM(D19)</f>
        <v>0</v>
      </c>
      <c r="K19" s="378" t="e">
        <f>J19/J21</f>
        <v>#DIV/0!</v>
      </c>
      <c r="L19" s="62"/>
      <c r="M19" s="65"/>
      <c r="N19" s="65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 spans="1:28" ht="18.75">
      <c r="A20" s="392" t="s">
        <v>59</v>
      </c>
      <c r="B20" s="379"/>
      <c r="C20" s="375" t="e">
        <f>B20/$B$21</f>
        <v>#DIV/0!</v>
      </c>
      <c r="D20" s="391"/>
      <c r="E20" s="391"/>
      <c r="F20" s="391"/>
      <c r="G20" s="391"/>
      <c r="H20" s="391"/>
      <c r="I20" s="391"/>
      <c r="J20" s="377">
        <f t="shared" si="9"/>
        <v>0</v>
      </c>
      <c r="K20" s="378" t="e">
        <f>J20/J21</f>
        <v>#DIV/0!</v>
      </c>
      <c r="L20" s="62"/>
      <c r="M20" s="65"/>
      <c r="N20" s="65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</row>
    <row r="21" spans="1:28" ht="15.75" customHeight="1">
      <c r="A21" s="393" t="s">
        <v>73</v>
      </c>
      <c r="B21" s="394">
        <f t="shared" ref="B21:C21" si="10">B17+B15</f>
        <v>0</v>
      </c>
      <c r="C21" s="395" t="e">
        <f t="shared" si="10"/>
        <v>#DIV/0!</v>
      </c>
      <c r="D21" s="396">
        <f>SUM(D17,D18)</f>
        <v>0</v>
      </c>
      <c r="E21" s="396"/>
      <c r="F21" s="396"/>
      <c r="G21" s="396"/>
      <c r="H21" s="396"/>
      <c r="I21" s="396"/>
      <c r="J21" s="397">
        <f t="shared" ref="J21:K21" si="11">J17+J18</f>
        <v>0</v>
      </c>
      <c r="K21" s="395" t="e">
        <f t="shared" si="11"/>
        <v>#DIV/0!</v>
      </c>
      <c r="L21" s="62"/>
      <c r="M21" s="65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</row>
    <row r="22" spans="1:28" ht="15.75" customHeight="1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6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</row>
    <row r="23" spans="1:28" ht="15.75" customHeight="1">
      <c r="A23" s="173"/>
      <c r="B23" s="178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</row>
    <row r="24" spans="1:28" ht="15.75" customHeight="1">
      <c r="A24" s="173"/>
      <c r="B24" s="173"/>
      <c r="C24" s="173"/>
      <c r="D24" s="180"/>
      <c r="E24" s="180"/>
      <c r="F24" s="180"/>
      <c r="G24" s="180"/>
      <c r="H24" s="180"/>
      <c r="I24" s="180"/>
      <c r="J24" s="183"/>
      <c r="K24" s="184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</row>
    <row r="25" spans="1:28" ht="15.75" customHeight="1">
      <c r="A25" s="173"/>
      <c r="B25" s="173"/>
      <c r="C25" s="173"/>
      <c r="D25" s="186"/>
      <c r="E25" s="186"/>
      <c r="F25" s="186"/>
      <c r="G25" s="186"/>
      <c r="H25" s="186"/>
      <c r="I25" s="186"/>
      <c r="J25" s="183"/>
      <c r="K25" s="184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</row>
    <row r="26" spans="1:28" ht="15.75" customHeight="1">
      <c r="A26" s="173"/>
      <c r="B26" s="173"/>
      <c r="C26" s="173"/>
      <c r="D26" s="187"/>
      <c r="E26" s="187"/>
      <c r="F26" s="187"/>
      <c r="G26" s="187"/>
      <c r="H26" s="187"/>
      <c r="I26" s="187"/>
      <c r="J26" s="186"/>
      <c r="K26" s="184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</row>
    <row r="27" spans="1:28" ht="15.75" customHeight="1">
      <c r="A27" s="173"/>
      <c r="B27" s="173"/>
      <c r="C27" s="173"/>
      <c r="D27" s="187"/>
      <c r="E27" s="187"/>
      <c r="F27" s="187"/>
      <c r="G27" s="187"/>
      <c r="H27" s="187"/>
      <c r="I27" s="187"/>
      <c r="J27" s="183"/>
      <c r="K27" s="184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</row>
    <row r="28" spans="1:28" ht="15.75" customHeight="1">
      <c r="A28" s="173"/>
      <c r="B28" s="173"/>
      <c r="C28" s="173"/>
      <c r="D28" s="187"/>
      <c r="E28" s="187"/>
      <c r="F28" s="187"/>
      <c r="G28" s="187"/>
      <c r="H28" s="187"/>
      <c r="I28" s="187"/>
      <c r="J28" s="189"/>
      <c r="K28" s="184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</row>
    <row r="29" spans="1:28" ht="15.75" customHeight="1">
      <c r="A29" s="173"/>
      <c r="B29" s="173"/>
      <c r="C29" s="173"/>
      <c r="D29" s="190"/>
      <c r="E29" s="190"/>
      <c r="F29" s="190"/>
      <c r="G29" s="190"/>
      <c r="H29" s="190"/>
      <c r="I29" s="190"/>
      <c r="J29" s="184"/>
      <c r="K29" s="184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</row>
    <row r="30" spans="1:28" ht="15.75" customHeight="1">
      <c r="A30" s="173"/>
      <c r="B30" s="173"/>
      <c r="C30" s="173"/>
      <c r="D30" s="184"/>
      <c r="E30" s="184"/>
      <c r="F30" s="184"/>
      <c r="G30" s="184"/>
      <c r="H30" s="184"/>
      <c r="I30" s="184"/>
      <c r="J30" s="193"/>
      <c r="K30" s="184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</row>
    <row r="31" spans="1:28" ht="15.75" customHeight="1">
      <c r="A31" s="173"/>
      <c r="B31" s="173"/>
      <c r="C31" s="173"/>
      <c r="D31" s="196"/>
      <c r="E31" s="196"/>
      <c r="F31" s="196"/>
      <c r="G31" s="196"/>
      <c r="H31" s="196"/>
      <c r="I31" s="196"/>
      <c r="J31" s="189"/>
      <c r="K31" s="184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</row>
    <row r="32" spans="1:28" ht="15.75" customHeight="1">
      <c r="A32" s="173"/>
      <c r="B32" s="173"/>
      <c r="C32" s="173"/>
      <c r="D32" s="189"/>
      <c r="E32" s="189"/>
      <c r="F32" s="189"/>
      <c r="G32" s="189"/>
      <c r="H32" s="189"/>
      <c r="I32" s="189"/>
      <c r="J32" s="184"/>
      <c r="K32" s="184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</row>
    <row r="33" spans="1:28" ht="15.75" customHeight="1">
      <c r="A33" s="173"/>
      <c r="B33" s="173"/>
      <c r="C33" s="173"/>
      <c r="D33" s="196"/>
      <c r="E33" s="196"/>
      <c r="F33" s="196"/>
      <c r="G33" s="196"/>
      <c r="H33" s="196"/>
      <c r="I33" s="196"/>
      <c r="J33" s="186"/>
      <c r="K33" s="184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</row>
    <row r="34" spans="1:28" ht="15.75" customHeight="1">
      <c r="A34" s="173"/>
      <c r="B34" s="173"/>
      <c r="C34" s="173"/>
      <c r="D34" s="184"/>
      <c r="E34" s="184"/>
      <c r="F34" s="184"/>
      <c r="G34" s="184"/>
      <c r="H34" s="184"/>
      <c r="I34" s="184"/>
      <c r="J34" s="193"/>
      <c r="K34" s="184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</row>
    <row r="35" spans="1:28" ht="15.75" customHeight="1">
      <c r="A35" s="173"/>
      <c r="B35" s="173"/>
      <c r="C35" s="173"/>
      <c r="D35" s="184"/>
      <c r="E35" s="184"/>
      <c r="F35" s="184"/>
      <c r="G35" s="184"/>
      <c r="H35" s="184"/>
      <c r="I35" s="184"/>
      <c r="J35" s="184"/>
      <c r="K35" s="184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</row>
    <row r="36" spans="1:28" ht="15.75" customHeight="1">
      <c r="A36" s="173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</row>
    <row r="37" spans="1:28" ht="15.75" customHeight="1">
      <c r="A37" s="173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</row>
    <row r="38" spans="1:28" ht="15.75" customHeight="1">
      <c r="A38" s="173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</row>
    <row r="39" spans="1:28" ht="15.75" customHeight="1">
      <c r="A39" s="173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</row>
    <row r="40" spans="1:28" ht="15.75" customHeight="1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</row>
    <row r="41" spans="1:28" ht="15.75" customHeight="1">
      <c r="A41" s="173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</row>
    <row r="42" spans="1:28" ht="15.75" customHeight="1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</row>
    <row r="43" spans="1:28" ht="15.75" customHeight="1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</row>
    <row r="44" spans="1:28" ht="15.75" customHeight="1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</row>
    <row r="45" spans="1:28" ht="15.75" customHeight="1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</row>
    <row r="46" spans="1:28" ht="15.75" customHeight="1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</row>
    <row r="47" spans="1:28" ht="15.75" customHeight="1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</row>
    <row r="48" spans="1:28" ht="15.75" customHeight="1">
      <c r="A48" s="173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</row>
    <row r="49" spans="1:28" ht="15.75" customHeight="1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</row>
    <row r="50" spans="1:28" ht="15.75" customHeight="1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</row>
    <row r="51" spans="1:28" ht="15.75" customHeight="1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</row>
    <row r="52" spans="1:28" ht="15.75" customHeight="1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</row>
    <row r="53" spans="1:28" ht="15.75" customHeight="1">
      <c r="A53" s="173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</row>
    <row r="54" spans="1:28" ht="15.75" customHeight="1">
      <c r="A54" s="173"/>
      <c r="B54" s="173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</row>
    <row r="55" spans="1:28" ht="15.75" customHeight="1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</row>
    <row r="56" spans="1:28" ht="15.75" customHeight="1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</row>
    <row r="57" spans="1:28" ht="15.75" customHeight="1">
      <c r="A57" s="173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</row>
    <row r="58" spans="1:28" ht="15.75" customHeight="1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</row>
    <row r="59" spans="1:28" ht="15.75" customHeight="1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</row>
    <row r="60" spans="1:28" ht="15.75" customHeight="1">
      <c r="A60" s="173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</row>
    <row r="61" spans="1:28" ht="15.75" customHeight="1">
      <c r="A61" s="173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</row>
    <row r="62" spans="1:28" ht="15.75" customHeight="1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</row>
    <row r="63" spans="1:28" ht="15.75" customHeight="1">
      <c r="A63" s="173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</row>
    <row r="64" spans="1:28" ht="15.75" customHeight="1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</row>
    <row r="65" spans="1:28" ht="15.75" customHeight="1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</row>
    <row r="66" spans="1:28" ht="15.75" customHeight="1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</row>
    <row r="67" spans="1:28" ht="15.75" customHeight="1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</row>
    <row r="68" spans="1:28" ht="15.75" customHeight="1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</row>
    <row r="69" spans="1:28" ht="15.75" customHeight="1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</row>
    <row r="70" spans="1:28" ht="15.75" customHeight="1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</row>
    <row r="71" spans="1:28" ht="15.75" customHeight="1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</row>
    <row r="72" spans="1:28" ht="15.75" customHeight="1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</row>
    <row r="73" spans="1:28" ht="15.75" customHeight="1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</row>
    <row r="74" spans="1:28" ht="15.75" customHeight="1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</row>
    <row r="75" spans="1:28" ht="15.75" customHeight="1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</row>
    <row r="76" spans="1:28" ht="15.75" customHeight="1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</row>
    <row r="77" spans="1:28" ht="15.75" customHeight="1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</row>
    <row r="78" spans="1:28" ht="15.75" customHeight="1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</row>
    <row r="79" spans="1:28" ht="15.75" customHeight="1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</row>
    <row r="80" spans="1:28" ht="15.75" customHeight="1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</row>
    <row r="81" spans="1:28" ht="15.75" customHeight="1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</row>
    <row r="82" spans="1:28" ht="15.75" customHeight="1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</row>
    <row r="83" spans="1:28" ht="15.75" customHeight="1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</row>
    <row r="84" spans="1:28" ht="15.75" customHeight="1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</row>
    <row r="85" spans="1:28" ht="15.75" customHeight="1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</row>
    <row r="86" spans="1:28" ht="15.75" customHeight="1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</row>
    <row r="87" spans="1:28" ht="15.75" customHeight="1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</row>
    <row r="88" spans="1:28" ht="15.75" customHeight="1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</row>
    <row r="89" spans="1:28" ht="15.75" customHeight="1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</row>
    <row r="90" spans="1:28" ht="15.75" customHeight="1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</row>
    <row r="91" spans="1:28" ht="15.75" customHeight="1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</row>
    <row r="92" spans="1:28" ht="15.75" customHeight="1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</row>
    <row r="93" spans="1:28" ht="15.75" customHeight="1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</row>
    <row r="94" spans="1:28" ht="15.75" customHeight="1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</row>
    <row r="95" spans="1:28" ht="15.75" customHeight="1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</row>
    <row r="96" spans="1:28" ht="15.75" customHeight="1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</row>
    <row r="97" spans="1:28" ht="15.75" customHeight="1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</row>
    <row r="98" spans="1:28" ht="15.75" customHeight="1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</row>
    <row r="99" spans="1:28" ht="15.75" customHeight="1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</row>
    <row r="100" spans="1:28" ht="15.75" customHeight="1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</row>
    <row r="101" spans="1:28" ht="15.75" customHeight="1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</row>
    <row r="102" spans="1:28" ht="15.75" customHeight="1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</row>
    <row r="103" spans="1:28" ht="15.75" customHeight="1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</row>
    <row r="104" spans="1:28" ht="15.75" customHeight="1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</row>
    <row r="105" spans="1:28" ht="15.75" customHeight="1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</row>
    <row r="106" spans="1:28" ht="15.75" customHeight="1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</row>
    <row r="107" spans="1:28" ht="15.75" customHeight="1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</row>
    <row r="108" spans="1:28" ht="15.75" customHeight="1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</row>
    <row r="109" spans="1:28" ht="15.75" customHeight="1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</row>
    <row r="110" spans="1:28" ht="15.75" customHeight="1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</row>
    <row r="111" spans="1:28" ht="15.75" customHeight="1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</row>
    <row r="112" spans="1:28" ht="15.75" customHeight="1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</row>
    <row r="113" spans="1:28" ht="15.75" customHeight="1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</row>
    <row r="114" spans="1:28" ht="15.75" customHeight="1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</row>
    <row r="115" spans="1:28" ht="15.75" customHeight="1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</row>
    <row r="116" spans="1:28" ht="15.75" customHeight="1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</row>
    <row r="117" spans="1:28" ht="15.75" customHeight="1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</row>
    <row r="118" spans="1:28" ht="15.75" customHeight="1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</row>
    <row r="119" spans="1:28" ht="15.75" customHeight="1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</row>
    <row r="120" spans="1:28" ht="15.75" customHeight="1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</row>
    <row r="121" spans="1:28" ht="15.75" customHeight="1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</row>
    <row r="122" spans="1:28" ht="15.75" customHeight="1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</row>
    <row r="123" spans="1:28" ht="15.75" customHeight="1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</row>
    <row r="124" spans="1:28" ht="15.75" customHeight="1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</row>
    <row r="125" spans="1:28" ht="15.75" customHeight="1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</row>
    <row r="126" spans="1:28" ht="15.75" customHeight="1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</row>
    <row r="127" spans="1:28" ht="15.75" customHeight="1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</row>
    <row r="128" spans="1:28" ht="15.75" customHeight="1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</row>
    <row r="129" spans="1:28" ht="15.75" customHeight="1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</row>
    <row r="130" spans="1:28" ht="15.75" customHeight="1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</row>
    <row r="131" spans="1:28" ht="15.75" customHeight="1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</row>
    <row r="132" spans="1:28" ht="15.75" customHeight="1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</row>
    <row r="133" spans="1:28" ht="15.75" customHeight="1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</row>
    <row r="134" spans="1:28" ht="15.75" customHeight="1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</row>
    <row r="135" spans="1:28" ht="15.75" customHeight="1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</row>
    <row r="136" spans="1:28" ht="15.75" customHeight="1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</row>
    <row r="137" spans="1:28" ht="15.75" customHeight="1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</row>
    <row r="138" spans="1:28" ht="15.75" customHeight="1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</row>
    <row r="139" spans="1:28" ht="15.75" customHeight="1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</row>
    <row r="140" spans="1:28" ht="15.75" customHeight="1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</row>
    <row r="141" spans="1:28" ht="15.75" customHeight="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</row>
    <row r="142" spans="1:28" ht="15.75" customHeight="1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</row>
    <row r="143" spans="1:28" ht="15.75" customHeight="1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</row>
    <row r="144" spans="1:28" ht="15.75" customHeight="1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</row>
    <row r="145" spans="1:28" ht="15.75" customHeight="1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</row>
    <row r="146" spans="1:28" ht="15.75" customHeight="1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</row>
    <row r="147" spans="1:28" ht="15.75" customHeight="1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</row>
    <row r="148" spans="1:28" ht="15.75" customHeight="1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</row>
    <row r="149" spans="1:28" ht="15.75" customHeight="1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</row>
    <row r="150" spans="1:28" ht="15.75" customHeight="1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</row>
    <row r="151" spans="1:28" ht="15.75" customHeight="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</row>
    <row r="152" spans="1:28" ht="15.75" customHeight="1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</row>
    <row r="153" spans="1:28" ht="15.75" customHeight="1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</row>
    <row r="154" spans="1:28" ht="15.75" customHeight="1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</row>
    <row r="155" spans="1:28" ht="15.75" customHeight="1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</row>
    <row r="156" spans="1:28" ht="15.75" customHeight="1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</row>
    <row r="157" spans="1:28" ht="15.75" customHeight="1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</row>
    <row r="158" spans="1:28" ht="15.75" customHeight="1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</row>
    <row r="159" spans="1:28" ht="15.75" customHeight="1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</row>
    <row r="160" spans="1:28" ht="15.75" customHeight="1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</row>
    <row r="161" spans="1:28" ht="15.75" customHeight="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</row>
    <row r="162" spans="1:28" ht="15.75" customHeight="1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</row>
    <row r="163" spans="1:28" ht="15.75" customHeight="1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</row>
    <row r="164" spans="1:28" ht="15.75" customHeight="1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</row>
    <row r="165" spans="1:28" ht="15.75" customHeight="1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</row>
    <row r="166" spans="1:28" ht="15.75" customHeight="1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</row>
    <row r="167" spans="1:28" ht="15.75" customHeight="1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</row>
    <row r="168" spans="1:28" ht="15.75" customHeight="1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</row>
    <row r="169" spans="1:28" ht="15.75" customHeight="1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</row>
    <row r="170" spans="1:28" ht="15.75" customHeight="1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</row>
    <row r="171" spans="1:28" ht="15.75" customHeight="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</row>
    <row r="172" spans="1:28" ht="15.75" customHeight="1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</row>
    <row r="173" spans="1:28" ht="15.75" customHeight="1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</row>
    <row r="174" spans="1:28" ht="15.75" customHeight="1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</row>
    <row r="175" spans="1:28" ht="15.75" customHeight="1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</row>
    <row r="176" spans="1:28" ht="15.75" customHeight="1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</row>
    <row r="177" spans="1:28" ht="15.75" customHeight="1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</row>
    <row r="178" spans="1:28" ht="15.75" customHeight="1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</row>
    <row r="179" spans="1:28" ht="15.75" customHeight="1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</row>
    <row r="180" spans="1:28" ht="15.75" customHeight="1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</row>
    <row r="181" spans="1:28" ht="15.75" customHeight="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</row>
    <row r="182" spans="1:28" ht="15.75" customHeight="1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</row>
    <row r="183" spans="1:28" ht="15.75" customHeight="1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</row>
    <row r="184" spans="1:28" ht="15.75" customHeight="1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</row>
    <row r="185" spans="1:28" ht="15.75" customHeight="1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</row>
    <row r="186" spans="1:28" ht="15.75" customHeight="1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</row>
    <row r="187" spans="1:28" ht="15.75" customHeight="1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</row>
    <row r="188" spans="1:28" ht="15.75" customHeight="1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</row>
    <row r="189" spans="1:28" ht="15.75" customHeight="1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</row>
    <row r="190" spans="1:28" ht="15.75" customHeight="1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</row>
    <row r="191" spans="1:28" ht="15.75" customHeight="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</row>
    <row r="192" spans="1:28" ht="15.75" customHeight="1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</row>
    <row r="193" spans="1:28" ht="15.75" customHeight="1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</row>
    <row r="194" spans="1:28" ht="15.75" customHeight="1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</row>
    <row r="195" spans="1:28" ht="15.75" customHeight="1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</row>
    <row r="196" spans="1:28" ht="15.75" customHeight="1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</row>
    <row r="197" spans="1:28" ht="15.75" customHeight="1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</row>
    <row r="198" spans="1:28" ht="15.75" customHeight="1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</row>
    <row r="199" spans="1:28" ht="15.75" customHeight="1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</row>
    <row r="200" spans="1:28" ht="15.75" customHeight="1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</row>
    <row r="201" spans="1:28" ht="15.75" customHeight="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</row>
    <row r="202" spans="1:28" ht="15.75" customHeight="1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</row>
    <row r="203" spans="1:28" ht="15.75" customHeight="1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</row>
    <row r="204" spans="1:28" ht="15.75" customHeight="1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</row>
    <row r="205" spans="1:28" ht="15.75" customHeight="1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</row>
    <row r="206" spans="1:28" ht="15.75" customHeight="1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</row>
    <row r="207" spans="1:28" ht="15.75" customHeight="1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</row>
    <row r="208" spans="1:28" ht="15.75" customHeight="1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</row>
    <row r="209" spans="1:28" ht="15.75" customHeight="1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</row>
    <row r="210" spans="1:28" ht="15.75" customHeight="1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</row>
    <row r="211" spans="1:28" ht="15.75" customHeight="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</row>
    <row r="212" spans="1:28" ht="15.75" customHeight="1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</row>
    <row r="213" spans="1:28" ht="15.75" customHeight="1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</row>
    <row r="214" spans="1:28" ht="15.75" customHeight="1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</row>
    <row r="215" spans="1:28" ht="15.75" customHeight="1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</row>
    <row r="216" spans="1:28" ht="15.75" customHeight="1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</row>
    <row r="217" spans="1:28" ht="15.75" customHeight="1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</row>
    <row r="218" spans="1:28" ht="15.75" customHeight="1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</row>
    <row r="219" spans="1:28" ht="15.75" customHeight="1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</row>
    <row r="220" spans="1:28" ht="15.75" customHeight="1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</row>
    <row r="221" spans="1:28" ht="15.75" customHeight="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</row>
    <row r="222" spans="1:28" ht="15.75" customHeight="1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</row>
    <row r="223" spans="1:28" ht="15.75" customHeight="1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</row>
    <row r="224" spans="1:28" ht="15.75" customHeight="1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</row>
    <row r="225" spans="1:28" ht="15.75" customHeight="1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</row>
    <row r="226" spans="1:28" ht="15.75" customHeight="1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</row>
    <row r="227" spans="1:28" ht="15.75" customHeight="1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</row>
    <row r="228" spans="1:28" ht="15.75" customHeight="1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</row>
    <row r="229" spans="1:28" ht="15.75" customHeight="1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</row>
    <row r="230" spans="1:28" ht="15.75" customHeight="1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</row>
    <row r="231" spans="1:28" ht="15.75" customHeight="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</row>
    <row r="232" spans="1:28" ht="15.75" customHeight="1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</row>
    <row r="233" spans="1:28" ht="15.75" customHeight="1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</row>
    <row r="234" spans="1:28" ht="15.75" customHeight="1"/>
    <row r="235" spans="1:28" ht="15.75" customHeight="1"/>
    <row r="236" spans="1:28" ht="15.75" customHeight="1"/>
    <row r="237" spans="1:28" ht="15.75" customHeight="1"/>
    <row r="238" spans="1:28" ht="15.75" customHeight="1"/>
    <row r="239" spans="1:28" ht="15.75" customHeight="1"/>
    <row r="240" spans="1:2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C4"/>
    <mergeCell ref="A2:K2"/>
  </mergeCells>
  <phoneticPr fontId="53" type="noConversion"/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70"/>
  <sheetViews>
    <sheetView topLeftCell="A16" workbookViewId="0">
      <selection activeCell="E49" sqref="E49"/>
    </sheetView>
  </sheetViews>
  <sheetFormatPr defaultColWidth="14.42578125" defaultRowHeight="15"/>
  <cols>
    <col min="1" max="1" width="33" customWidth="1"/>
    <col min="2" max="3" width="14.42578125" customWidth="1"/>
    <col min="4" max="4" width="20.42578125" customWidth="1"/>
    <col min="5" max="5" width="20" customWidth="1"/>
    <col min="6" max="6" width="17" customWidth="1"/>
    <col min="7" max="7" width="22.140625" customWidth="1"/>
    <col min="8" max="8" width="13.42578125" customWidth="1"/>
    <col min="9" max="9" width="35.140625" customWidth="1"/>
    <col min="10" max="11" width="24.140625" customWidth="1"/>
    <col min="12" max="12" width="15.7109375" customWidth="1"/>
    <col min="13" max="13" width="16.85546875" customWidth="1"/>
  </cols>
  <sheetData>
    <row r="1" spans="1:26">
      <c r="A1" s="1"/>
      <c r="B1" s="3"/>
      <c r="C1" s="4"/>
      <c r="D1" s="3"/>
      <c r="E1" s="4"/>
      <c r="F1" s="4"/>
      <c r="G1" s="4"/>
      <c r="H1" s="4"/>
      <c r="I1" s="4"/>
      <c r="J1" s="3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6">
      <c r="A2" s="1"/>
      <c r="B2" s="7"/>
      <c r="C2" s="7"/>
      <c r="D2" s="7"/>
      <c r="E2" s="7"/>
      <c r="F2" s="7"/>
      <c r="G2" s="7"/>
      <c r="H2" s="7"/>
      <c r="I2" s="7"/>
      <c r="J2" s="10"/>
      <c r="K2" s="11"/>
      <c r="L2" s="12"/>
      <c r="M2" s="13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6">
      <c r="A3" s="316" t="s">
        <v>3</v>
      </c>
      <c r="B3" s="306"/>
      <c r="C3" s="306"/>
      <c r="D3" s="306"/>
      <c r="E3" s="306"/>
      <c r="F3" s="306"/>
      <c r="G3" s="306"/>
      <c r="H3" s="306"/>
      <c r="I3" s="306"/>
      <c r="J3" s="306"/>
      <c r="K3" s="306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6">
      <c r="A4" s="328" t="s">
        <v>8</v>
      </c>
      <c r="B4" s="320"/>
      <c r="C4" s="320"/>
      <c r="D4" s="320"/>
      <c r="E4" s="320"/>
      <c r="F4" s="320"/>
      <c r="G4" s="320"/>
      <c r="H4" s="320"/>
      <c r="I4" s="320"/>
      <c r="J4" s="320"/>
      <c r="K4" s="320"/>
      <c r="L4" s="4"/>
      <c r="M4" s="4"/>
      <c r="N4" s="4"/>
      <c r="O4" s="20"/>
      <c r="P4" s="4"/>
      <c r="Q4" s="4"/>
      <c r="R4" s="4"/>
      <c r="S4" s="4"/>
      <c r="T4" s="4"/>
      <c r="U4" s="4"/>
      <c r="V4" s="4"/>
      <c r="W4" s="4"/>
      <c r="X4" s="4"/>
    </row>
    <row r="5" spans="1:26" ht="18.75">
      <c r="A5" s="21" t="s">
        <v>13</v>
      </c>
      <c r="B5" s="22" t="s">
        <v>16</v>
      </c>
      <c r="C5" s="22" t="s">
        <v>19</v>
      </c>
      <c r="D5" s="24" t="s">
        <v>20</v>
      </c>
      <c r="E5" s="21" t="s">
        <v>21</v>
      </c>
      <c r="F5" s="25" t="s">
        <v>22</v>
      </c>
      <c r="G5" s="25" t="s">
        <v>23</v>
      </c>
      <c r="H5" s="25" t="s">
        <v>24</v>
      </c>
      <c r="I5" s="25" t="s">
        <v>25</v>
      </c>
      <c r="J5" s="22" t="s">
        <v>26</v>
      </c>
      <c r="K5" s="25" t="s">
        <v>27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6" ht="30">
      <c r="A6" s="26" t="s">
        <v>28</v>
      </c>
      <c r="B6" s="27">
        <v>46082</v>
      </c>
      <c r="C6" s="28" t="s">
        <v>29</v>
      </c>
      <c r="D6" s="30">
        <f>D7</f>
        <v>0</v>
      </c>
      <c r="E6" s="31"/>
      <c r="F6" s="32"/>
      <c r="G6" s="34"/>
      <c r="H6" s="35"/>
      <c r="I6" s="39"/>
      <c r="J6" s="42"/>
      <c r="K6" s="329">
        <v>2026</v>
      </c>
      <c r="L6" s="4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>
      <c r="A7" s="49"/>
      <c r="B7" s="51"/>
      <c r="C7" s="53"/>
      <c r="D7" s="55"/>
      <c r="E7" s="56"/>
      <c r="F7" s="58"/>
      <c r="G7" s="59"/>
      <c r="H7" s="60"/>
      <c r="I7" s="60"/>
      <c r="J7" s="61"/>
      <c r="K7" s="33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>
      <c r="A8" s="90" t="s">
        <v>53</v>
      </c>
      <c r="B8" s="94">
        <v>46088</v>
      </c>
      <c r="C8" s="28" t="s">
        <v>29</v>
      </c>
      <c r="D8" s="98">
        <f>SUM(D9:D10)</f>
        <v>0</v>
      </c>
      <c r="E8" s="101">
        <f>SUM(E9:E10)</f>
        <v>0</v>
      </c>
      <c r="F8" s="104"/>
      <c r="G8" s="121"/>
      <c r="H8" s="123"/>
      <c r="I8" s="123"/>
      <c r="J8" s="125"/>
      <c r="K8" s="330"/>
      <c r="L8" s="127">
        <f>D8-E8</f>
        <v>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>
      <c r="A9" s="1"/>
      <c r="B9" s="51"/>
      <c r="C9" s="53"/>
      <c r="D9" s="87"/>
      <c r="E9" s="75"/>
      <c r="F9" s="58"/>
      <c r="G9" s="67"/>
      <c r="H9" s="78"/>
      <c r="I9" s="78"/>
      <c r="J9" s="70"/>
      <c r="K9" s="33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>
      <c r="A10" s="49"/>
      <c r="B10" s="51"/>
      <c r="C10" s="53"/>
      <c r="D10" s="55"/>
      <c r="E10" s="75"/>
      <c r="F10" s="76"/>
      <c r="G10" s="67"/>
      <c r="H10" s="78"/>
      <c r="I10" s="78"/>
      <c r="J10" s="70"/>
      <c r="K10" s="330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>
      <c r="A11" s="135" t="s">
        <v>43</v>
      </c>
      <c r="B11" s="27">
        <v>46168</v>
      </c>
      <c r="C11" s="28" t="s">
        <v>29</v>
      </c>
      <c r="D11" s="137">
        <v>1229600</v>
      </c>
      <c r="E11" s="101">
        <v>325200</v>
      </c>
      <c r="F11" s="104" t="s">
        <v>57</v>
      </c>
      <c r="G11" s="138" t="s">
        <v>57</v>
      </c>
      <c r="H11" s="123" t="s">
        <v>57</v>
      </c>
      <c r="I11" s="139" t="s">
        <v>57</v>
      </c>
      <c r="J11" s="125" t="s">
        <v>57</v>
      </c>
      <c r="K11" s="330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6" ht="18.75">
      <c r="A12" s="140" t="s">
        <v>50</v>
      </c>
      <c r="B12" s="27">
        <v>46168</v>
      </c>
      <c r="C12" s="28" t="s">
        <v>29</v>
      </c>
      <c r="D12" s="141">
        <v>132000</v>
      </c>
      <c r="E12" s="142">
        <v>24000</v>
      </c>
      <c r="F12" s="104" t="s">
        <v>57</v>
      </c>
      <c r="G12" s="138" t="s">
        <v>57</v>
      </c>
      <c r="H12" s="123" t="s">
        <v>57</v>
      </c>
      <c r="I12" s="139" t="s">
        <v>57</v>
      </c>
      <c r="J12" s="125" t="s">
        <v>57</v>
      </c>
      <c r="K12" s="330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6" ht="18.75">
      <c r="A13" s="144" t="s">
        <v>45</v>
      </c>
      <c r="B13" s="27">
        <v>46097</v>
      </c>
      <c r="C13" s="28" t="s">
        <v>29</v>
      </c>
      <c r="D13" s="98">
        <v>17035.259999999998</v>
      </c>
      <c r="E13" s="145">
        <v>17035.259999999998</v>
      </c>
      <c r="F13" s="104">
        <v>1</v>
      </c>
      <c r="G13" s="146">
        <v>46112</v>
      </c>
      <c r="H13" s="123">
        <v>10</v>
      </c>
      <c r="I13" s="86" t="s">
        <v>64</v>
      </c>
      <c r="J13" s="125">
        <v>9</v>
      </c>
      <c r="K13" s="330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6" ht="18.75">
      <c r="A14" s="144" t="s">
        <v>46</v>
      </c>
      <c r="B14" s="27"/>
      <c r="C14" s="28"/>
      <c r="D14" s="98" t="s">
        <v>57</v>
      </c>
      <c r="E14" s="147" t="s">
        <v>57</v>
      </c>
      <c r="F14" s="104"/>
      <c r="G14" s="146"/>
      <c r="H14" s="123"/>
      <c r="I14" s="86"/>
      <c r="J14" s="125"/>
      <c r="K14" s="330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6" ht="30">
      <c r="A15" s="148" t="s">
        <v>66</v>
      </c>
      <c r="B15" s="27">
        <v>46099</v>
      </c>
      <c r="C15" s="28" t="s">
        <v>29</v>
      </c>
      <c r="D15" s="149"/>
      <c r="E15" s="151" t="s">
        <v>57</v>
      </c>
      <c r="F15" s="104" t="s">
        <v>57</v>
      </c>
      <c r="G15" s="138" t="s">
        <v>57</v>
      </c>
      <c r="H15" s="123" t="s">
        <v>57</v>
      </c>
      <c r="I15" s="86" t="s">
        <v>57</v>
      </c>
      <c r="J15" s="125" t="s">
        <v>57</v>
      </c>
      <c r="K15" s="330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6" ht="18.75">
      <c r="A16" s="152" t="s">
        <v>68</v>
      </c>
      <c r="B16" s="27">
        <v>46100</v>
      </c>
      <c r="C16" s="28" t="s">
        <v>29</v>
      </c>
      <c r="D16" s="149" t="s">
        <v>57</v>
      </c>
      <c r="E16" s="151" t="s">
        <v>57</v>
      </c>
      <c r="F16" s="104" t="s">
        <v>57</v>
      </c>
      <c r="G16" s="138" t="s">
        <v>57</v>
      </c>
      <c r="H16" s="123" t="s">
        <v>57</v>
      </c>
      <c r="I16" s="86" t="s">
        <v>57</v>
      </c>
      <c r="J16" s="125" t="s">
        <v>57</v>
      </c>
      <c r="K16" s="330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8.75">
      <c r="A17" s="152" t="s">
        <v>69</v>
      </c>
      <c r="B17" s="27">
        <v>46101</v>
      </c>
      <c r="C17" s="154" t="s">
        <v>29</v>
      </c>
      <c r="D17" s="149" t="s">
        <v>57</v>
      </c>
      <c r="E17" s="156" t="s">
        <v>57</v>
      </c>
      <c r="F17" s="104" t="s">
        <v>57</v>
      </c>
      <c r="G17" s="138" t="s">
        <v>57</v>
      </c>
      <c r="H17" s="123" t="s">
        <v>57</v>
      </c>
      <c r="I17" s="86" t="s">
        <v>57</v>
      </c>
      <c r="J17" s="125" t="s">
        <v>57</v>
      </c>
      <c r="K17" s="330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30">
      <c r="A18" s="152" t="s">
        <v>70</v>
      </c>
      <c r="B18" s="27">
        <v>46102</v>
      </c>
      <c r="C18" s="154" t="s">
        <v>29</v>
      </c>
      <c r="D18" s="157">
        <v>32519.43</v>
      </c>
      <c r="E18" s="156" t="s">
        <v>57</v>
      </c>
      <c r="F18" s="104" t="s">
        <v>57</v>
      </c>
      <c r="G18" s="138" t="s">
        <v>57</v>
      </c>
      <c r="H18" s="123" t="s">
        <v>57</v>
      </c>
      <c r="I18" s="86" t="s">
        <v>57</v>
      </c>
      <c r="J18" s="125" t="s">
        <v>57</v>
      </c>
      <c r="K18" s="33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30">
      <c r="A19" s="158" t="s">
        <v>71</v>
      </c>
      <c r="B19" s="27">
        <v>46098</v>
      </c>
      <c r="C19" s="28" t="s">
        <v>29</v>
      </c>
      <c r="D19" s="157">
        <v>377878.77</v>
      </c>
      <c r="E19" s="160">
        <v>377878.77</v>
      </c>
      <c r="F19" s="104" t="s">
        <v>57</v>
      </c>
      <c r="G19" s="138" t="s">
        <v>57</v>
      </c>
      <c r="H19" s="123" t="s">
        <v>57</v>
      </c>
      <c r="I19" s="86" t="s">
        <v>57</v>
      </c>
      <c r="J19" s="125" t="s">
        <v>57</v>
      </c>
      <c r="K19" s="330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8.75">
      <c r="A20" s="162" t="s">
        <v>72</v>
      </c>
      <c r="B20" s="27">
        <v>46098</v>
      </c>
      <c r="C20" s="28" t="s">
        <v>29</v>
      </c>
      <c r="D20" s="141">
        <v>75357.22</v>
      </c>
      <c r="E20" s="163">
        <v>75357.22</v>
      </c>
      <c r="F20" s="104" t="s">
        <v>57</v>
      </c>
      <c r="G20" s="138" t="s">
        <v>57</v>
      </c>
      <c r="H20" s="123" t="s">
        <v>57</v>
      </c>
      <c r="I20" s="165" t="s">
        <v>57</v>
      </c>
      <c r="J20" s="125" t="s">
        <v>57</v>
      </c>
      <c r="K20" s="330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8.75">
      <c r="A21" s="167" t="s">
        <v>52</v>
      </c>
      <c r="B21" s="94">
        <v>46099</v>
      </c>
      <c r="C21" s="28" t="s">
        <v>29</v>
      </c>
      <c r="D21" s="137">
        <v>149853.04</v>
      </c>
      <c r="E21" s="169">
        <f>F59</f>
        <v>124552.458</v>
      </c>
      <c r="F21" s="104" t="s">
        <v>57</v>
      </c>
      <c r="G21" s="170"/>
      <c r="H21" s="123" t="s">
        <v>57</v>
      </c>
      <c r="I21" s="165" t="s">
        <v>57</v>
      </c>
      <c r="J21" s="125" t="s">
        <v>57</v>
      </c>
      <c r="K21" s="330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8.75">
      <c r="A22" s="333" t="s">
        <v>73</v>
      </c>
      <c r="B22" s="334"/>
      <c r="C22" s="331"/>
      <c r="D22" s="172">
        <f>SUM(D6,D8,D11:D21)</f>
        <v>2014243.72</v>
      </c>
      <c r="E22" s="172">
        <f>SUM(E6,E8,E11:E21)</f>
        <v>944023.70799999998</v>
      </c>
      <c r="F22" s="110"/>
      <c r="G22" s="110"/>
      <c r="H22" s="82"/>
      <c r="I22" s="110"/>
      <c r="J22" s="177"/>
      <c r="K22" s="33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1"/>
      <c r="B23" s="3"/>
      <c r="C23" s="4"/>
      <c r="D23" s="179"/>
      <c r="E23" s="20"/>
      <c r="F23" s="4"/>
      <c r="G23" s="4"/>
      <c r="H23" s="181"/>
      <c r="I23" s="181"/>
      <c r="J23" s="179"/>
      <c r="K23" s="18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1"/>
      <c r="B24" s="3"/>
      <c r="C24" s="4"/>
      <c r="D24" s="3"/>
      <c r="E24" s="185"/>
      <c r="F24" s="4"/>
      <c r="G24" s="20"/>
      <c r="H24" s="4"/>
      <c r="I24" s="4"/>
      <c r="J24" s="179"/>
      <c r="K24" s="18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1"/>
      <c r="B25" s="3"/>
      <c r="C25" s="4"/>
      <c r="D25" s="3"/>
      <c r="E25" s="185"/>
      <c r="F25" s="4"/>
      <c r="G25" s="20"/>
      <c r="H25" s="4"/>
      <c r="I25" s="4"/>
      <c r="J25" s="3"/>
      <c r="K25" s="5"/>
      <c r="L25" s="4"/>
      <c r="M25" s="20"/>
      <c r="N25" s="188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335" t="s">
        <v>74</v>
      </c>
      <c r="B26" s="312"/>
      <c r="C26" s="312"/>
      <c r="D26" s="312"/>
      <c r="E26" s="312"/>
      <c r="F26" s="313"/>
      <c r="G26" s="181"/>
      <c r="H26" s="181"/>
      <c r="I26" s="181"/>
      <c r="J26" s="181"/>
      <c r="K26" s="182"/>
      <c r="L26" s="4"/>
      <c r="M26" s="20"/>
      <c r="N26" s="188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>
      <c r="A27" s="336" t="s">
        <v>75</v>
      </c>
      <c r="B27" s="312"/>
      <c r="C27" s="312"/>
      <c r="D27" s="312"/>
      <c r="E27" s="312"/>
      <c r="F27" s="313"/>
      <c r="G27" s="181"/>
      <c r="H27" s="181"/>
      <c r="I27" s="181"/>
      <c r="J27" s="181"/>
      <c r="K27" s="182"/>
      <c r="L27" s="4"/>
      <c r="M27" s="20"/>
      <c r="N27" s="188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>
      <c r="A28" s="191" t="s">
        <v>13</v>
      </c>
      <c r="B28" s="192" t="s">
        <v>16</v>
      </c>
      <c r="C28" s="192" t="s">
        <v>19</v>
      </c>
      <c r="D28" s="192" t="s">
        <v>20</v>
      </c>
      <c r="E28" s="194" t="s">
        <v>76</v>
      </c>
      <c r="F28" s="195" t="s">
        <v>77</v>
      </c>
      <c r="G28" s="197"/>
      <c r="H28" s="197"/>
      <c r="I28" s="197"/>
      <c r="J28" s="197"/>
      <c r="K28" s="198"/>
      <c r="L28" s="4"/>
      <c r="M28" s="181"/>
      <c r="N28" s="188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>
      <c r="A29" s="199">
        <v>1</v>
      </c>
      <c r="B29" s="200" t="s">
        <v>78</v>
      </c>
      <c r="C29" s="201"/>
      <c r="D29" s="202">
        <v>0</v>
      </c>
      <c r="E29" s="202">
        <v>0</v>
      </c>
      <c r="F29" s="203"/>
      <c r="G29" s="4"/>
      <c r="H29" s="4"/>
      <c r="I29" s="4"/>
      <c r="J29" s="4"/>
      <c r="K29" s="5"/>
      <c r="L29" s="4"/>
      <c r="M29" s="181"/>
      <c r="N29" s="188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>
      <c r="A30" s="199">
        <v>2</v>
      </c>
      <c r="B30" s="200" t="s">
        <v>79</v>
      </c>
      <c r="C30" s="204"/>
      <c r="D30" s="202">
        <v>0</v>
      </c>
      <c r="E30" s="202">
        <v>0</v>
      </c>
      <c r="F30" s="203"/>
      <c r="G30" s="4"/>
      <c r="H30" s="4"/>
      <c r="I30" s="4"/>
      <c r="J30" s="4"/>
      <c r="K30" s="5"/>
      <c r="L30" s="4"/>
      <c r="M30" s="197"/>
      <c r="N30" s="188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>
      <c r="A31" s="199">
        <v>3</v>
      </c>
      <c r="B31" s="200" t="s">
        <v>80</v>
      </c>
      <c r="C31" s="205"/>
      <c r="D31" s="202">
        <v>0</v>
      </c>
      <c r="E31" s="202">
        <v>0</v>
      </c>
      <c r="F31" s="203"/>
      <c r="G31" s="4"/>
      <c r="H31" s="4"/>
      <c r="I31" s="4"/>
      <c r="J31" s="4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>
      <c r="A32" s="199">
        <v>4</v>
      </c>
      <c r="B32" s="200" t="s">
        <v>81</v>
      </c>
      <c r="C32" s="205"/>
      <c r="D32" s="202">
        <v>0</v>
      </c>
      <c r="E32" s="202">
        <v>0</v>
      </c>
      <c r="F32" s="203"/>
      <c r="G32" s="4"/>
      <c r="H32" s="4"/>
      <c r="I32" s="4"/>
      <c r="J32" s="4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>
      <c r="A33" s="199">
        <v>5</v>
      </c>
      <c r="B33" s="200" t="s">
        <v>82</v>
      </c>
      <c r="C33" s="205"/>
      <c r="D33" s="202">
        <v>0</v>
      </c>
      <c r="E33" s="202">
        <v>0</v>
      </c>
      <c r="F33" s="203"/>
      <c r="G33" s="4"/>
      <c r="H33" s="4"/>
      <c r="I33" s="4"/>
      <c r="J33" s="4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>
      <c r="A34" s="199">
        <v>6</v>
      </c>
      <c r="B34" s="200" t="s">
        <v>83</v>
      </c>
      <c r="C34" s="205"/>
      <c r="D34" s="202">
        <v>0</v>
      </c>
      <c r="E34" s="202">
        <v>0</v>
      </c>
      <c r="F34" s="206"/>
      <c r="K34" s="20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>
      <c r="A35" s="199">
        <v>7</v>
      </c>
      <c r="B35" s="200" t="s">
        <v>84</v>
      </c>
      <c r="C35" s="205"/>
      <c r="D35" s="202">
        <v>0</v>
      </c>
      <c r="E35" s="202">
        <v>0</v>
      </c>
      <c r="F35" s="206"/>
      <c r="K35" s="20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>
      <c r="A36" s="199">
        <v>8</v>
      </c>
      <c r="B36" s="200" t="s">
        <v>85</v>
      </c>
      <c r="C36" s="205"/>
      <c r="D36" s="202">
        <v>0</v>
      </c>
      <c r="E36" s="202">
        <v>0</v>
      </c>
      <c r="F36" s="206"/>
      <c r="K36" s="20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>
      <c r="A37" s="199">
        <v>9</v>
      </c>
      <c r="B37" s="200" t="s">
        <v>86</v>
      </c>
      <c r="C37" s="205"/>
      <c r="D37" s="202">
        <v>0</v>
      </c>
      <c r="E37" s="202">
        <v>0</v>
      </c>
      <c r="F37" s="206"/>
      <c r="K37" s="20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>
      <c r="A38" s="199">
        <v>10</v>
      </c>
      <c r="B38" s="200" t="s">
        <v>87</v>
      </c>
      <c r="C38" s="205"/>
      <c r="D38" s="202">
        <v>0</v>
      </c>
      <c r="E38" s="202">
        <v>0</v>
      </c>
      <c r="F38" s="206"/>
      <c r="K38" s="20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5.75">
      <c r="A39" s="199">
        <v>11</v>
      </c>
      <c r="B39" s="200" t="s">
        <v>88</v>
      </c>
      <c r="C39" s="205"/>
      <c r="D39" s="202">
        <v>0</v>
      </c>
      <c r="E39" s="202">
        <v>0</v>
      </c>
      <c r="F39" s="206"/>
      <c r="K39" s="20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5.75">
      <c r="A40" s="199">
        <v>12</v>
      </c>
      <c r="B40" s="200" t="s">
        <v>89</v>
      </c>
      <c r="C40" s="205"/>
      <c r="D40" s="202">
        <v>0</v>
      </c>
      <c r="E40" s="202">
        <v>0</v>
      </c>
      <c r="F40" s="206"/>
      <c r="K40" s="20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5.75">
      <c r="A41" s="317" t="s">
        <v>73</v>
      </c>
      <c r="B41" s="312"/>
      <c r="C41" s="313"/>
      <c r="D41" s="208">
        <f t="shared" ref="D41:F41" si="0">SUM(D31)</f>
        <v>0</v>
      </c>
      <c r="E41" s="209">
        <f t="shared" si="0"/>
        <v>0</v>
      </c>
      <c r="F41" s="209">
        <f t="shared" si="0"/>
        <v>0</v>
      </c>
      <c r="K41" s="20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5.75">
      <c r="A42" s="1"/>
      <c r="B42" s="179"/>
      <c r="C42" s="4"/>
      <c r="D42" s="3"/>
      <c r="E42" s="4"/>
      <c r="F42" s="4"/>
      <c r="G42" s="4"/>
      <c r="H42" s="210"/>
      <c r="I42" s="210"/>
      <c r="J42" s="3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>
      <c r="A43" s="211"/>
      <c r="B43" s="212"/>
      <c r="C43" s="212"/>
      <c r="D43" s="212"/>
      <c r="E43" s="212"/>
      <c r="F43" s="212"/>
      <c r="G43" s="212"/>
      <c r="H43" s="212"/>
      <c r="I43" s="212"/>
      <c r="J43" s="212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7.25">
      <c r="A44" s="318" t="s">
        <v>90</v>
      </c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>
      <c r="A45" s="319" t="s">
        <v>8</v>
      </c>
      <c r="B45" s="320"/>
      <c r="C45" s="320"/>
      <c r="D45" s="320"/>
      <c r="E45" s="320"/>
      <c r="F45" s="320"/>
      <c r="G45" s="320"/>
      <c r="H45" s="320"/>
      <c r="I45" s="320"/>
      <c r="J45" s="320"/>
      <c r="K45" s="320"/>
      <c r="L45" s="32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5.75">
      <c r="A46" s="213" t="s">
        <v>13</v>
      </c>
      <c r="B46" s="214" t="s">
        <v>16</v>
      </c>
      <c r="C46" s="214" t="s">
        <v>19</v>
      </c>
      <c r="D46" s="214" t="s">
        <v>20</v>
      </c>
      <c r="E46" s="213" t="s">
        <v>76</v>
      </c>
      <c r="F46" s="214" t="s">
        <v>52</v>
      </c>
      <c r="G46" s="214" t="s">
        <v>91</v>
      </c>
      <c r="H46" s="214" t="s">
        <v>92</v>
      </c>
      <c r="I46" s="214" t="s">
        <v>23</v>
      </c>
      <c r="J46" s="214" t="s">
        <v>93</v>
      </c>
      <c r="K46" s="215" t="s">
        <v>27</v>
      </c>
      <c r="L46" s="215" t="s">
        <v>77</v>
      </c>
      <c r="M46" s="215" t="s">
        <v>17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75">
      <c r="A47" s="216">
        <v>1</v>
      </c>
      <c r="B47" s="217">
        <v>46054</v>
      </c>
      <c r="C47" s="218" t="s">
        <v>94</v>
      </c>
      <c r="D47" s="219">
        <v>908200.27</v>
      </c>
      <c r="E47" s="220">
        <f t="shared" ref="E47:E49" si="1">D47</f>
        <v>908200.27</v>
      </c>
      <c r="F47" s="220">
        <f t="shared" ref="F47:F58" si="2">E47*5%</f>
        <v>45410.013500000001</v>
      </c>
      <c r="G47" s="220">
        <f t="shared" ref="G47:G58" si="3">E47-F47</f>
        <v>862790.25650000002</v>
      </c>
      <c r="H47" s="221">
        <v>39</v>
      </c>
      <c r="I47" s="222">
        <v>46078</v>
      </c>
      <c r="J47" s="222">
        <v>46085</v>
      </c>
      <c r="K47" s="321">
        <v>2025</v>
      </c>
      <c r="L47" s="223" t="s">
        <v>57</v>
      </c>
      <c r="M47" s="131" t="s">
        <v>57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75">
      <c r="A48" s="216">
        <v>2</v>
      </c>
      <c r="B48" s="217">
        <v>46082</v>
      </c>
      <c r="C48" s="218" t="s">
        <v>95</v>
      </c>
      <c r="D48" s="219">
        <v>749265.22</v>
      </c>
      <c r="E48" s="220">
        <f t="shared" si="1"/>
        <v>749265.22</v>
      </c>
      <c r="F48" s="220">
        <f t="shared" si="2"/>
        <v>37463.260999999999</v>
      </c>
      <c r="G48" s="220">
        <f t="shared" si="3"/>
        <v>711801.95900000003</v>
      </c>
      <c r="H48" s="221">
        <v>46</v>
      </c>
      <c r="I48" s="222">
        <v>46094</v>
      </c>
      <c r="J48" s="222">
        <v>46107</v>
      </c>
      <c r="K48" s="322"/>
      <c r="L48" s="223" t="s">
        <v>57</v>
      </c>
      <c r="M48" s="131" t="s">
        <v>57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5.75">
      <c r="A49" s="224">
        <v>3</v>
      </c>
      <c r="B49" s="225">
        <v>46082</v>
      </c>
      <c r="C49" s="226" t="s">
        <v>96</v>
      </c>
      <c r="D49" s="227">
        <v>449265.22</v>
      </c>
      <c r="E49" s="228">
        <f t="shared" si="1"/>
        <v>449265.22</v>
      </c>
      <c r="F49" s="229">
        <f t="shared" si="2"/>
        <v>22463.260999999999</v>
      </c>
      <c r="G49" s="228">
        <f t="shared" si="3"/>
        <v>426801.95899999997</v>
      </c>
      <c r="H49" s="230">
        <v>47</v>
      </c>
      <c r="I49" s="231">
        <v>46094</v>
      </c>
      <c r="J49" s="231">
        <v>46100</v>
      </c>
      <c r="K49" s="323"/>
      <c r="L49" s="232">
        <v>1842.49</v>
      </c>
      <c r="M49" s="233">
        <v>1842.49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5.75">
      <c r="A50" s="234">
        <v>4</v>
      </c>
      <c r="B50" s="235">
        <v>46136</v>
      </c>
      <c r="C50" s="236" t="s">
        <v>97</v>
      </c>
      <c r="D50" s="237">
        <v>168670.58</v>
      </c>
      <c r="E50" s="238">
        <v>168670.58</v>
      </c>
      <c r="F50" s="239">
        <f t="shared" si="2"/>
        <v>8433.5290000000005</v>
      </c>
      <c r="G50" s="238">
        <f t="shared" si="3"/>
        <v>160237.05099999998</v>
      </c>
      <c r="H50" s="240">
        <v>57</v>
      </c>
      <c r="I50" s="241">
        <v>46128</v>
      </c>
      <c r="J50" s="231">
        <v>46141</v>
      </c>
      <c r="K50" s="324">
        <v>2026</v>
      </c>
      <c r="L50" s="232">
        <v>3465.5</v>
      </c>
      <c r="M50" s="233">
        <v>5307.99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5.75">
      <c r="A51" s="234">
        <v>5</v>
      </c>
      <c r="B51" s="235">
        <v>46164</v>
      </c>
      <c r="C51" s="236" t="s">
        <v>98</v>
      </c>
      <c r="D51" s="237">
        <f>168670.58+I64</f>
        <v>168670.58</v>
      </c>
      <c r="E51" s="238">
        <v>215647.87</v>
      </c>
      <c r="F51" s="239">
        <f t="shared" si="2"/>
        <v>10782.3935</v>
      </c>
      <c r="G51" s="238">
        <f t="shared" si="3"/>
        <v>204865.47649999999</v>
      </c>
      <c r="H51" s="240">
        <v>70</v>
      </c>
      <c r="I51" s="241">
        <v>46162</v>
      </c>
      <c r="J51" s="231">
        <v>46170</v>
      </c>
      <c r="K51" s="322"/>
      <c r="L51" s="232">
        <v>2973.93</v>
      </c>
      <c r="M51" s="233">
        <v>8281.92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5.75">
      <c r="A52" s="216">
        <v>6</v>
      </c>
      <c r="B52" s="217">
        <v>46198</v>
      </c>
      <c r="C52" s="218" t="s">
        <v>99</v>
      </c>
      <c r="D52" s="220">
        <v>168670.58</v>
      </c>
      <c r="E52" s="242">
        <v>0</v>
      </c>
      <c r="F52" s="243">
        <f t="shared" si="2"/>
        <v>0</v>
      </c>
      <c r="G52" s="242">
        <f t="shared" si="3"/>
        <v>0</v>
      </c>
      <c r="H52" s="244"/>
      <c r="I52" s="245"/>
      <c r="J52" s="203"/>
      <c r="K52" s="322"/>
      <c r="L52" s="232">
        <v>3234.32</v>
      </c>
      <c r="M52" s="233">
        <v>11516.24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5.75">
      <c r="A53" s="216">
        <v>7</v>
      </c>
      <c r="B53" s="217">
        <v>46226</v>
      </c>
      <c r="C53" s="218" t="s">
        <v>100</v>
      </c>
      <c r="D53" s="220">
        <v>168670.58</v>
      </c>
      <c r="E53" s="220">
        <v>0</v>
      </c>
      <c r="F53" s="246">
        <f t="shared" si="2"/>
        <v>0</v>
      </c>
      <c r="G53" s="220">
        <f t="shared" si="3"/>
        <v>0</v>
      </c>
      <c r="H53" s="203"/>
      <c r="I53" s="247"/>
      <c r="J53" s="203"/>
      <c r="K53" s="322"/>
      <c r="L53" s="248"/>
      <c r="M53" s="248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5.75">
      <c r="A54" s="216">
        <v>8</v>
      </c>
      <c r="B54" s="217">
        <v>46261</v>
      </c>
      <c r="C54" s="218" t="s">
        <v>101</v>
      </c>
      <c r="D54" s="220">
        <v>168670.58</v>
      </c>
      <c r="E54" s="220">
        <v>0</v>
      </c>
      <c r="F54" s="246">
        <f t="shared" si="2"/>
        <v>0</v>
      </c>
      <c r="G54" s="220">
        <f t="shared" si="3"/>
        <v>0</v>
      </c>
      <c r="H54" s="203"/>
      <c r="I54" s="247"/>
      <c r="J54" s="203"/>
      <c r="K54" s="322"/>
      <c r="L54" s="248"/>
      <c r="M54" s="248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5.75">
      <c r="A55" s="216">
        <v>9</v>
      </c>
      <c r="B55" s="217">
        <v>46289</v>
      </c>
      <c r="C55" s="218" t="s">
        <v>102</v>
      </c>
      <c r="D55" s="220">
        <v>258000</v>
      </c>
      <c r="E55" s="220">
        <v>0</v>
      </c>
      <c r="F55" s="246">
        <f t="shared" si="2"/>
        <v>0</v>
      </c>
      <c r="G55" s="220">
        <f t="shared" si="3"/>
        <v>0</v>
      </c>
      <c r="H55" s="203"/>
      <c r="I55" s="247"/>
      <c r="J55" s="203"/>
      <c r="K55" s="322"/>
      <c r="L55" s="248"/>
      <c r="M55" s="248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5.75">
      <c r="A56" s="216">
        <v>10</v>
      </c>
      <c r="B56" s="217">
        <v>46317</v>
      </c>
      <c r="C56" s="218" t="s">
        <v>103</v>
      </c>
      <c r="D56" s="220">
        <v>0</v>
      </c>
      <c r="E56" s="220">
        <v>0</v>
      </c>
      <c r="F56" s="246">
        <f t="shared" si="2"/>
        <v>0</v>
      </c>
      <c r="G56" s="220">
        <f t="shared" si="3"/>
        <v>0</v>
      </c>
      <c r="H56" s="203"/>
      <c r="I56" s="247"/>
      <c r="J56" s="203"/>
      <c r="K56" s="322"/>
      <c r="L56" s="248"/>
      <c r="M56" s="248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5.75">
      <c r="A57" s="216">
        <v>11</v>
      </c>
      <c r="B57" s="217">
        <v>46352</v>
      </c>
      <c r="C57" s="218" t="s">
        <v>104</v>
      </c>
      <c r="D57" s="220">
        <v>0</v>
      </c>
      <c r="E57" s="220">
        <v>0</v>
      </c>
      <c r="F57" s="246">
        <f t="shared" si="2"/>
        <v>0</v>
      </c>
      <c r="G57" s="220">
        <f t="shared" si="3"/>
        <v>0</v>
      </c>
      <c r="H57" s="203"/>
      <c r="I57" s="247"/>
      <c r="J57" s="203"/>
      <c r="K57" s="322"/>
      <c r="L57" s="248"/>
      <c r="M57" s="248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5.75">
      <c r="A58" s="249"/>
      <c r="B58" s="250"/>
      <c r="C58" s="251"/>
      <c r="D58" s="252"/>
      <c r="E58" s="220">
        <v>0</v>
      </c>
      <c r="F58" s="246">
        <f t="shared" si="2"/>
        <v>0</v>
      </c>
      <c r="G58" s="220">
        <f t="shared" si="3"/>
        <v>0</v>
      </c>
      <c r="H58" s="203"/>
      <c r="I58" s="247"/>
      <c r="J58" s="203"/>
      <c r="K58" s="322"/>
      <c r="L58" s="248"/>
      <c r="M58" s="248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5.75">
      <c r="A59" s="325" t="s">
        <v>73</v>
      </c>
      <c r="B59" s="312"/>
      <c r="C59" s="313"/>
      <c r="D59" s="253">
        <f>SUM(D47:D58)</f>
        <v>3208083.6100000003</v>
      </c>
      <c r="E59" s="253">
        <f t="shared" ref="E59:G59" si="4">SUM(E47:E57)</f>
        <v>2491049.16</v>
      </c>
      <c r="F59" s="253">
        <f t="shared" si="4"/>
        <v>124552.458</v>
      </c>
      <c r="G59" s="253">
        <f t="shared" si="4"/>
        <v>2366496.7019999996</v>
      </c>
      <c r="H59" s="203"/>
      <c r="I59" s="203"/>
      <c r="J59" s="203"/>
      <c r="K59" s="254"/>
      <c r="L59" s="248"/>
      <c r="M59" s="248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>
      <c r="A60" s="211"/>
      <c r="B60" s="212"/>
      <c r="C60" s="212"/>
      <c r="D60" s="255"/>
      <c r="E60" s="255"/>
      <c r="F60" s="212"/>
      <c r="G60" s="256"/>
      <c r="H60" s="212"/>
      <c r="I60" s="212"/>
      <c r="J60" s="255"/>
      <c r="K60" s="18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>
      <c r="A61" s="1"/>
      <c r="B61" s="3"/>
      <c r="C61" s="4"/>
      <c r="D61" s="3"/>
      <c r="E61" s="4"/>
      <c r="F61" s="4"/>
      <c r="G61" s="4"/>
      <c r="H61" s="4"/>
      <c r="I61" s="20"/>
      <c r="J61" s="20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>
      <c r="A62" s="1"/>
      <c r="B62" s="3"/>
      <c r="C62" s="4"/>
      <c r="D62" s="326" t="s">
        <v>105</v>
      </c>
      <c r="E62" s="313"/>
      <c r="F62" s="4"/>
      <c r="G62" s="327"/>
      <c r="H62" s="315"/>
      <c r="I62" s="179"/>
      <c r="J62" s="20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>
      <c r="A63" s="1"/>
      <c r="B63" s="3"/>
      <c r="C63" s="4"/>
      <c r="D63" s="257">
        <v>908200.27</v>
      </c>
      <c r="E63" s="258">
        <f t="shared" ref="E63:E70" si="5">D63/$D$70</f>
        <v>0.30303030212032056</v>
      </c>
      <c r="F63" s="10"/>
      <c r="G63" s="259"/>
      <c r="H63" s="260"/>
      <c r="I63" s="20"/>
      <c r="J63" s="20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>
      <c r="A64" s="1"/>
      <c r="B64" s="3"/>
      <c r="C64" s="4"/>
      <c r="D64" s="257">
        <v>1245507.73</v>
      </c>
      <c r="E64" s="258">
        <f t="shared" si="5"/>
        <v>0.41557638351626414</v>
      </c>
      <c r="F64" s="10"/>
      <c r="G64" s="259"/>
      <c r="H64" s="260"/>
      <c r="I64" s="261"/>
      <c r="J64" s="20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>
      <c r="A65" s="1"/>
      <c r="B65" s="3"/>
      <c r="C65" s="4"/>
      <c r="D65" s="257">
        <v>168670.58</v>
      </c>
      <c r="E65" s="258">
        <f t="shared" si="5"/>
        <v>5.6278662872683023E-2</v>
      </c>
      <c r="F65" s="10"/>
      <c r="G65" s="259"/>
      <c r="H65" s="260"/>
      <c r="I65" s="20"/>
      <c r="J65" s="20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>
      <c r="A66" s="1"/>
      <c r="B66" s="3"/>
      <c r="C66" s="4"/>
      <c r="D66" s="257">
        <v>168670.58</v>
      </c>
      <c r="E66" s="258">
        <f t="shared" si="5"/>
        <v>5.6278662872683023E-2</v>
      </c>
      <c r="F66" s="10"/>
      <c r="G66" s="262"/>
      <c r="H66" s="263"/>
      <c r="I66" s="88"/>
      <c r="J66" s="4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>
      <c r="A67" s="1"/>
      <c r="B67" s="3"/>
      <c r="C67" s="4"/>
      <c r="D67" s="257">
        <v>168670.58</v>
      </c>
      <c r="E67" s="258">
        <f t="shared" si="5"/>
        <v>5.6278662872683023E-2</v>
      </c>
      <c r="F67" s="10"/>
      <c r="G67" s="259"/>
      <c r="H67" s="260"/>
      <c r="I67" s="4"/>
      <c r="J67" s="3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>
      <c r="A68" s="1"/>
      <c r="B68" s="3"/>
      <c r="C68" s="4"/>
      <c r="D68" s="257">
        <v>168670.58</v>
      </c>
      <c r="E68" s="258">
        <f t="shared" si="5"/>
        <v>5.6278662872683023E-2</v>
      </c>
      <c r="F68" s="10"/>
      <c r="G68" s="259"/>
      <c r="H68" s="260"/>
      <c r="I68" s="4"/>
      <c r="J68" s="3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>
      <c r="A69" s="1"/>
      <c r="B69" s="3"/>
      <c r="C69" s="4"/>
      <c r="D69" s="257">
        <v>168670.58</v>
      </c>
      <c r="E69" s="258">
        <f t="shared" si="5"/>
        <v>5.6278662872683023E-2</v>
      </c>
      <c r="F69" s="10"/>
      <c r="G69" s="259"/>
      <c r="H69" s="260"/>
      <c r="I69" s="4"/>
      <c r="J69" s="3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>
      <c r="A70" s="1"/>
      <c r="B70" s="3"/>
      <c r="C70" s="4"/>
      <c r="D70" s="264">
        <f>SUM(D63:D69)</f>
        <v>2997060.9000000004</v>
      </c>
      <c r="E70" s="258">
        <f t="shared" si="5"/>
        <v>1</v>
      </c>
      <c r="F70" s="4"/>
      <c r="G70" s="265"/>
      <c r="H70" s="260"/>
      <c r="I70" s="4"/>
      <c r="J70" s="3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>
      <c r="A71" s="1"/>
      <c r="B71" s="3"/>
      <c r="C71" s="4"/>
      <c r="D71" s="3"/>
      <c r="E71" s="4"/>
      <c r="F71" s="4"/>
      <c r="G71" s="4"/>
      <c r="H71" s="4"/>
      <c r="I71" s="4"/>
      <c r="J71" s="3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>
      <c r="A72" s="1"/>
      <c r="B72" s="3"/>
      <c r="C72" s="4"/>
      <c r="D72" s="3"/>
      <c r="E72" s="4"/>
      <c r="F72" s="4"/>
      <c r="G72" s="4"/>
      <c r="H72" s="4"/>
      <c r="I72" s="4"/>
      <c r="J72" s="3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>
      <c r="A73" s="1"/>
      <c r="B73" s="3"/>
      <c r="C73" s="4"/>
      <c r="D73" s="3"/>
      <c r="E73" s="4"/>
      <c r="F73" s="4"/>
      <c r="G73" s="4"/>
      <c r="H73" s="4"/>
      <c r="I73" s="4"/>
      <c r="J73" s="3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>
      <c r="A74" s="1"/>
      <c r="B74" s="3"/>
      <c r="C74" s="4"/>
      <c r="D74" s="3"/>
      <c r="E74" s="4"/>
      <c r="F74" s="4"/>
      <c r="G74" s="4"/>
      <c r="H74" s="4"/>
      <c r="I74" s="4"/>
      <c r="J74" s="3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>
      <c r="A75" s="1"/>
      <c r="B75" s="3"/>
      <c r="C75" s="4"/>
      <c r="D75" s="3"/>
      <c r="E75" s="4"/>
      <c r="F75" s="4"/>
      <c r="G75" s="4"/>
      <c r="H75" s="4"/>
      <c r="I75" s="4"/>
      <c r="J75" s="3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>
      <c r="A76" s="1"/>
      <c r="B76" s="3"/>
      <c r="C76" s="4"/>
      <c r="D76" s="3"/>
      <c r="E76" s="4"/>
      <c r="F76" s="4"/>
      <c r="G76" s="4"/>
      <c r="H76" s="4"/>
      <c r="I76" s="4"/>
      <c r="J76" s="3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>
      <c r="A77" s="1"/>
      <c r="B77" s="3"/>
      <c r="C77" s="4"/>
      <c r="D77" s="3"/>
      <c r="E77" s="4"/>
      <c r="F77" s="4"/>
      <c r="G77" s="4"/>
      <c r="H77" s="4"/>
      <c r="I77" s="4"/>
      <c r="J77" s="3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>
      <c r="A78" s="1"/>
      <c r="B78" s="3"/>
      <c r="C78" s="4"/>
      <c r="D78" s="3"/>
      <c r="E78" s="4"/>
      <c r="F78" s="4"/>
      <c r="G78" s="4"/>
      <c r="H78" s="4"/>
      <c r="I78" s="4"/>
      <c r="J78" s="3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>
      <c r="A79" s="1"/>
      <c r="B79" s="3"/>
      <c r="C79" s="4"/>
      <c r="D79" s="3"/>
      <c r="E79" s="4"/>
      <c r="F79" s="4"/>
      <c r="G79" s="4"/>
      <c r="H79" s="4"/>
      <c r="I79" s="4"/>
      <c r="J79" s="3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>
      <c r="A80" s="1"/>
      <c r="B80" s="3"/>
      <c r="C80" s="4"/>
      <c r="D80" s="3"/>
      <c r="E80" s="4"/>
      <c r="F80" s="4"/>
      <c r="G80" s="4"/>
      <c r="H80" s="4"/>
      <c r="I80" s="4"/>
      <c r="J80" s="3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>
      <c r="A81" s="1"/>
      <c r="B81" s="3"/>
      <c r="C81" s="4"/>
      <c r="D81" s="3"/>
      <c r="E81" s="4"/>
      <c r="F81" s="4"/>
      <c r="G81" s="4"/>
      <c r="H81" s="4"/>
      <c r="I81" s="4"/>
      <c r="J81" s="3"/>
      <c r="K81" s="5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>
      <c r="A82" s="1"/>
      <c r="B82" s="3"/>
      <c r="C82" s="4"/>
      <c r="D82" s="3"/>
      <c r="E82" s="4"/>
      <c r="F82" s="4"/>
      <c r="G82" s="4"/>
      <c r="H82" s="4"/>
      <c r="I82" s="4"/>
      <c r="J82" s="3"/>
      <c r="K82" s="5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>
      <c r="A83" s="1"/>
      <c r="B83" s="3"/>
      <c r="C83" s="4"/>
      <c r="D83" s="3"/>
      <c r="E83" s="4"/>
      <c r="F83" s="4"/>
      <c r="G83" s="4"/>
      <c r="H83" s="4"/>
      <c r="I83" s="4"/>
      <c r="J83" s="3"/>
      <c r="K83" s="5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>
      <c r="A84" s="1"/>
      <c r="B84" s="3"/>
      <c r="C84" s="4"/>
      <c r="D84" s="3"/>
      <c r="E84" s="4"/>
      <c r="F84" s="4"/>
      <c r="G84" s="4"/>
      <c r="H84" s="4"/>
      <c r="I84" s="4"/>
      <c r="J84" s="3"/>
      <c r="K84" s="5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>
      <c r="A85" s="1"/>
      <c r="B85" s="3"/>
      <c r="C85" s="4"/>
      <c r="D85" s="3"/>
      <c r="E85" s="4"/>
      <c r="F85" s="4"/>
      <c r="G85" s="4"/>
      <c r="H85" s="4"/>
      <c r="I85" s="4"/>
      <c r="J85" s="3"/>
      <c r="K85" s="5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>
      <c r="A86" s="1"/>
      <c r="B86" s="3"/>
      <c r="C86" s="4"/>
      <c r="D86" s="3"/>
      <c r="E86" s="4"/>
      <c r="F86" s="4"/>
      <c r="G86" s="4"/>
      <c r="H86" s="4"/>
      <c r="I86" s="4"/>
      <c r="J86" s="3"/>
      <c r="K86" s="5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>
      <c r="A87" s="1"/>
      <c r="B87" s="3"/>
      <c r="C87" s="4"/>
      <c r="D87" s="3"/>
      <c r="E87" s="4"/>
      <c r="F87" s="4"/>
      <c r="G87" s="4"/>
      <c r="H87" s="4"/>
      <c r="I87" s="4"/>
      <c r="J87" s="3"/>
      <c r="K87" s="5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>
      <c r="A88" s="1"/>
      <c r="B88" s="3"/>
      <c r="C88" s="4"/>
      <c r="D88" s="3"/>
      <c r="E88" s="4"/>
      <c r="F88" s="4"/>
      <c r="G88" s="4"/>
      <c r="H88" s="4"/>
      <c r="I88" s="4"/>
      <c r="J88" s="3"/>
      <c r="K88" s="5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>
      <c r="A89" s="1"/>
      <c r="B89" s="3"/>
      <c r="C89" s="4"/>
      <c r="D89" s="3"/>
      <c r="E89" s="4"/>
      <c r="F89" s="4"/>
      <c r="G89" s="4"/>
      <c r="H89" s="4"/>
      <c r="I89" s="4"/>
      <c r="J89" s="3"/>
      <c r="K89" s="5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>
      <c r="A90" s="1"/>
      <c r="B90" s="3"/>
      <c r="C90" s="4"/>
      <c r="D90" s="3"/>
      <c r="E90" s="4"/>
      <c r="F90" s="4"/>
      <c r="G90" s="4"/>
      <c r="H90" s="4"/>
      <c r="I90" s="4"/>
      <c r="J90" s="3"/>
      <c r="K90" s="5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>
      <c r="A91" s="1"/>
      <c r="B91" s="3"/>
      <c r="C91" s="4"/>
      <c r="D91" s="3"/>
      <c r="E91" s="4"/>
      <c r="F91" s="4"/>
      <c r="G91" s="4"/>
      <c r="H91" s="4"/>
      <c r="I91" s="4"/>
      <c r="J91" s="3"/>
      <c r="K91" s="5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>
      <c r="A92" s="1"/>
      <c r="B92" s="3"/>
      <c r="C92" s="4"/>
      <c r="D92" s="3"/>
      <c r="E92" s="4"/>
      <c r="F92" s="4"/>
      <c r="G92" s="4"/>
      <c r="H92" s="4"/>
      <c r="I92" s="4"/>
      <c r="J92" s="3"/>
      <c r="K92" s="5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>
      <c r="A93" s="1"/>
      <c r="B93" s="3"/>
      <c r="C93" s="4"/>
      <c r="D93" s="3"/>
      <c r="E93" s="4"/>
      <c r="F93" s="4"/>
      <c r="G93" s="4"/>
      <c r="H93" s="4"/>
      <c r="I93" s="4"/>
      <c r="J93" s="3"/>
      <c r="K93" s="5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>
      <c r="A94" s="1"/>
      <c r="B94" s="3"/>
      <c r="C94" s="4"/>
      <c r="D94" s="3"/>
      <c r="E94" s="4"/>
      <c r="F94" s="4"/>
      <c r="G94" s="4"/>
      <c r="H94" s="4"/>
      <c r="I94" s="4"/>
      <c r="J94" s="3"/>
      <c r="K94" s="5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>
      <c r="A95" s="1"/>
      <c r="B95" s="3"/>
      <c r="C95" s="4"/>
      <c r="D95" s="3"/>
      <c r="E95" s="4"/>
      <c r="F95" s="4"/>
      <c r="G95" s="4"/>
      <c r="H95" s="4"/>
      <c r="I95" s="4"/>
      <c r="J95" s="3"/>
      <c r="K95" s="5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>
      <c r="A96" s="1"/>
      <c r="B96" s="3"/>
      <c r="C96" s="4"/>
      <c r="D96" s="3"/>
      <c r="E96" s="4"/>
      <c r="F96" s="4"/>
      <c r="G96" s="4"/>
      <c r="H96" s="4"/>
      <c r="I96" s="4"/>
      <c r="J96" s="3"/>
      <c r="K96" s="5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>
      <c r="A97" s="1"/>
      <c r="B97" s="3"/>
      <c r="C97" s="4"/>
      <c r="D97" s="3"/>
      <c r="E97" s="4"/>
      <c r="F97" s="4"/>
      <c r="G97" s="4"/>
      <c r="H97" s="4"/>
      <c r="I97" s="4"/>
      <c r="J97" s="3"/>
      <c r="K97" s="5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>
      <c r="A98" s="1"/>
      <c r="B98" s="3"/>
      <c r="C98" s="4"/>
      <c r="D98" s="3"/>
      <c r="E98" s="4"/>
      <c r="F98" s="4"/>
      <c r="G98" s="4"/>
      <c r="H98" s="4"/>
      <c r="I98" s="4"/>
      <c r="J98" s="3"/>
      <c r="K98" s="5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>
      <c r="A99" s="1"/>
      <c r="B99" s="3"/>
      <c r="C99" s="4"/>
      <c r="D99" s="3"/>
      <c r="E99" s="4"/>
      <c r="F99" s="4"/>
      <c r="G99" s="4"/>
      <c r="H99" s="4"/>
      <c r="I99" s="4"/>
      <c r="J99" s="3"/>
      <c r="K99" s="5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>
      <c r="A100" s="1"/>
      <c r="B100" s="3"/>
      <c r="C100" s="4"/>
      <c r="D100" s="3"/>
      <c r="E100" s="4"/>
      <c r="F100" s="4"/>
      <c r="G100" s="4"/>
      <c r="H100" s="4"/>
      <c r="I100" s="4"/>
      <c r="J100" s="3"/>
      <c r="K100" s="5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>
      <c r="A101" s="1"/>
      <c r="B101" s="3"/>
      <c r="C101" s="4"/>
      <c r="D101" s="3"/>
      <c r="E101" s="4"/>
      <c r="F101" s="4"/>
      <c r="G101" s="4"/>
      <c r="H101" s="4"/>
      <c r="I101" s="4"/>
      <c r="J101" s="3"/>
      <c r="K101" s="5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>
      <c r="A102" s="1"/>
      <c r="B102" s="3"/>
      <c r="C102" s="4"/>
      <c r="D102" s="3"/>
      <c r="E102" s="4"/>
      <c r="F102" s="4"/>
      <c r="G102" s="4"/>
      <c r="H102" s="4"/>
      <c r="I102" s="4"/>
      <c r="J102" s="3"/>
      <c r="K102" s="5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>
      <c r="A103" s="1"/>
      <c r="B103" s="3"/>
      <c r="C103" s="4"/>
      <c r="D103" s="3"/>
      <c r="E103" s="4"/>
      <c r="F103" s="4"/>
      <c r="G103" s="4"/>
      <c r="H103" s="4"/>
      <c r="I103" s="4"/>
      <c r="J103" s="3"/>
      <c r="K103" s="5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>
      <c r="A104" s="1"/>
      <c r="B104" s="3"/>
      <c r="C104" s="4"/>
      <c r="D104" s="3"/>
      <c r="E104" s="4"/>
      <c r="F104" s="4"/>
      <c r="G104" s="4"/>
      <c r="H104" s="4"/>
      <c r="I104" s="4"/>
      <c r="J104" s="3"/>
      <c r="K104" s="5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>
      <c r="A105" s="1"/>
      <c r="B105" s="3"/>
      <c r="C105" s="4"/>
      <c r="D105" s="3"/>
      <c r="E105" s="4"/>
      <c r="F105" s="4"/>
      <c r="G105" s="4"/>
      <c r="H105" s="4"/>
      <c r="I105" s="4"/>
      <c r="J105" s="3"/>
      <c r="K105" s="5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>
      <c r="A106" s="1"/>
      <c r="B106" s="3"/>
      <c r="C106" s="4"/>
      <c r="D106" s="3"/>
      <c r="E106" s="4"/>
      <c r="F106" s="4"/>
      <c r="G106" s="4"/>
      <c r="H106" s="4"/>
      <c r="I106" s="4"/>
      <c r="J106" s="3"/>
      <c r="K106" s="5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>
      <c r="A107" s="1"/>
      <c r="B107" s="3"/>
      <c r="C107" s="4"/>
      <c r="D107" s="3"/>
      <c r="E107" s="4"/>
      <c r="F107" s="4"/>
      <c r="G107" s="4"/>
      <c r="H107" s="4"/>
      <c r="I107" s="4"/>
      <c r="J107" s="3"/>
      <c r="K107" s="5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>
      <c r="A108" s="1"/>
      <c r="B108" s="3"/>
      <c r="C108" s="4"/>
      <c r="D108" s="3"/>
      <c r="E108" s="4"/>
      <c r="F108" s="4"/>
      <c r="G108" s="4"/>
      <c r="H108" s="4"/>
      <c r="I108" s="4"/>
      <c r="J108" s="3"/>
      <c r="K108" s="5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>
      <c r="A109" s="1"/>
      <c r="B109" s="3"/>
      <c r="C109" s="4"/>
      <c r="D109" s="3"/>
      <c r="E109" s="4"/>
      <c r="F109" s="4"/>
      <c r="G109" s="4"/>
      <c r="H109" s="4"/>
      <c r="I109" s="4"/>
      <c r="J109" s="3"/>
      <c r="K109" s="5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>
      <c r="A110" s="1"/>
      <c r="B110" s="3"/>
      <c r="C110" s="4"/>
      <c r="D110" s="3"/>
      <c r="E110" s="4"/>
      <c r="F110" s="4"/>
      <c r="G110" s="4"/>
      <c r="H110" s="4"/>
      <c r="I110" s="4"/>
      <c r="J110" s="3"/>
      <c r="K110" s="5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>
      <c r="A111" s="1"/>
      <c r="B111" s="3"/>
      <c r="C111" s="4"/>
      <c r="D111" s="3"/>
      <c r="E111" s="4"/>
      <c r="F111" s="4"/>
      <c r="G111" s="4"/>
      <c r="H111" s="4"/>
      <c r="I111" s="4"/>
      <c r="J111" s="3"/>
      <c r="K111" s="5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>
      <c r="A112" s="1"/>
      <c r="B112" s="3"/>
      <c r="C112" s="4"/>
      <c r="D112" s="3"/>
      <c r="E112" s="4"/>
      <c r="F112" s="4"/>
      <c r="G112" s="4"/>
      <c r="H112" s="4"/>
      <c r="I112" s="4"/>
      <c r="J112" s="3"/>
      <c r="K112" s="5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>
      <c r="A113" s="1"/>
      <c r="B113" s="3"/>
      <c r="C113" s="4"/>
      <c r="D113" s="3"/>
      <c r="E113" s="4"/>
      <c r="F113" s="4"/>
      <c r="G113" s="4"/>
      <c r="H113" s="4"/>
      <c r="I113" s="4"/>
      <c r="J113" s="3"/>
      <c r="K113" s="5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>
      <c r="A114" s="1"/>
      <c r="B114" s="3"/>
      <c r="C114" s="4"/>
      <c r="D114" s="3"/>
      <c r="E114" s="4"/>
      <c r="F114" s="4"/>
      <c r="G114" s="4"/>
      <c r="H114" s="4"/>
      <c r="I114" s="4"/>
      <c r="J114" s="3"/>
      <c r="K114" s="5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>
      <c r="A115" s="1"/>
      <c r="B115" s="3"/>
      <c r="C115" s="4"/>
      <c r="D115" s="3"/>
      <c r="E115" s="4"/>
      <c r="F115" s="4"/>
      <c r="G115" s="4"/>
      <c r="H115" s="4"/>
      <c r="I115" s="4"/>
      <c r="J115" s="3"/>
      <c r="K115" s="5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>
      <c r="A116" s="1"/>
      <c r="B116" s="3"/>
      <c r="C116" s="4"/>
      <c r="D116" s="3"/>
      <c r="E116" s="4"/>
      <c r="F116" s="4"/>
      <c r="G116" s="4"/>
      <c r="H116" s="4"/>
      <c r="I116" s="4"/>
      <c r="J116" s="3"/>
      <c r="K116" s="5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>
      <c r="A117" s="1"/>
      <c r="B117" s="3"/>
      <c r="C117" s="4"/>
      <c r="D117" s="3"/>
      <c r="E117" s="4"/>
      <c r="F117" s="4"/>
      <c r="G117" s="4"/>
      <c r="H117" s="4"/>
      <c r="I117" s="4"/>
      <c r="J117" s="3"/>
      <c r="K117" s="5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>
      <c r="A118" s="1"/>
      <c r="B118" s="3"/>
      <c r="C118" s="4"/>
      <c r="D118" s="3"/>
      <c r="E118" s="4"/>
      <c r="F118" s="4"/>
      <c r="G118" s="4"/>
      <c r="H118" s="4"/>
      <c r="I118" s="4"/>
      <c r="J118" s="3"/>
      <c r="K118" s="5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>
      <c r="A119" s="1"/>
      <c r="B119" s="3"/>
      <c r="C119" s="4"/>
      <c r="D119" s="3"/>
      <c r="E119" s="4"/>
      <c r="F119" s="4"/>
      <c r="G119" s="4"/>
      <c r="H119" s="4"/>
      <c r="I119" s="4"/>
      <c r="J119" s="3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>
      <c r="A120" s="1"/>
      <c r="B120" s="3"/>
      <c r="C120" s="4"/>
      <c r="D120" s="3"/>
      <c r="E120" s="4"/>
      <c r="F120" s="4"/>
      <c r="G120" s="4"/>
      <c r="H120" s="4"/>
      <c r="I120" s="4"/>
      <c r="J120" s="3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>
      <c r="A121" s="1"/>
      <c r="B121" s="3"/>
      <c r="C121" s="4"/>
      <c r="D121" s="3"/>
      <c r="E121" s="4"/>
      <c r="F121" s="4"/>
      <c r="G121" s="4"/>
      <c r="H121" s="4"/>
      <c r="I121" s="4"/>
      <c r="J121" s="3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>
      <c r="A122" s="1"/>
      <c r="B122" s="3"/>
      <c r="C122" s="4"/>
      <c r="D122" s="3"/>
      <c r="E122" s="4"/>
      <c r="F122" s="4"/>
      <c r="G122" s="4"/>
      <c r="H122" s="4"/>
      <c r="I122" s="4"/>
      <c r="J122" s="3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>
      <c r="A123" s="1"/>
      <c r="B123" s="3"/>
      <c r="C123" s="4"/>
      <c r="D123" s="3"/>
      <c r="E123" s="4"/>
      <c r="F123" s="4"/>
      <c r="G123" s="4"/>
      <c r="H123" s="4"/>
      <c r="I123" s="4"/>
      <c r="J123" s="3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>
      <c r="A124" s="1"/>
      <c r="B124" s="3"/>
      <c r="C124" s="4"/>
      <c r="D124" s="3"/>
      <c r="E124" s="4"/>
      <c r="F124" s="4"/>
      <c r="G124" s="4"/>
      <c r="H124" s="4"/>
      <c r="I124" s="4"/>
      <c r="J124" s="3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>
      <c r="A125" s="1"/>
      <c r="B125" s="3"/>
      <c r="C125" s="4"/>
      <c r="D125" s="3"/>
      <c r="E125" s="4"/>
      <c r="F125" s="4"/>
      <c r="G125" s="4"/>
      <c r="H125" s="4"/>
      <c r="I125" s="4"/>
      <c r="J125" s="3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>
      <c r="A126" s="1"/>
      <c r="B126" s="3"/>
      <c r="C126" s="4"/>
      <c r="D126" s="3"/>
      <c r="E126" s="4"/>
      <c r="F126" s="4"/>
      <c r="G126" s="4"/>
      <c r="H126" s="4"/>
      <c r="I126" s="4"/>
      <c r="J126" s="3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>
      <c r="A127" s="1"/>
      <c r="B127" s="3"/>
      <c r="C127" s="4"/>
      <c r="D127" s="3"/>
      <c r="E127" s="4"/>
      <c r="F127" s="4"/>
      <c r="G127" s="4"/>
      <c r="H127" s="4"/>
      <c r="I127" s="4"/>
      <c r="J127" s="3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>
      <c r="A128" s="1"/>
      <c r="B128" s="3"/>
      <c r="C128" s="4"/>
      <c r="D128" s="3"/>
      <c r="E128" s="4"/>
      <c r="F128" s="4"/>
      <c r="G128" s="4"/>
      <c r="H128" s="4"/>
      <c r="I128" s="4"/>
      <c r="J128" s="3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>
      <c r="A129" s="1"/>
      <c r="B129" s="3"/>
      <c r="C129" s="4"/>
      <c r="D129" s="3"/>
      <c r="E129" s="4"/>
      <c r="F129" s="4"/>
      <c r="G129" s="4"/>
      <c r="H129" s="4"/>
      <c r="I129" s="4"/>
      <c r="J129" s="3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>
      <c r="A130" s="1"/>
      <c r="B130" s="3"/>
      <c r="C130" s="4"/>
      <c r="D130" s="3"/>
      <c r="E130" s="4"/>
      <c r="F130" s="4"/>
      <c r="G130" s="4"/>
      <c r="H130" s="4"/>
      <c r="I130" s="4"/>
      <c r="J130" s="3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>
      <c r="A131" s="1"/>
      <c r="B131" s="3"/>
      <c r="C131" s="4"/>
      <c r="D131" s="3"/>
      <c r="E131" s="4"/>
      <c r="F131" s="4"/>
      <c r="G131" s="4"/>
      <c r="H131" s="4"/>
      <c r="I131" s="4"/>
      <c r="J131" s="3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>
      <c r="A132" s="1"/>
      <c r="B132" s="3"/>
      <c r="C132" s="4"/>
      <c r="D132" s="3"/>
      <c r="E132" s="4"/>
      <c r="F132" s="4"/>
      <c r="G132" s="4"/>
      <c r="H132" s="4"/>
      <c r="I132" s="4"/>
      <c r="J132" s="3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>
      <c r="A133" s="1"/>
      <c r="B133" s="3"/>
      <c r="C133" s="4"/>
      <c r="D133" s="3"/>
      <c r="E133" s="4"/>
      <c r="F133" s="4"/>
      <c r="G133" s="4"/>
      <c r="H133" s="4"/>
      <c r="I133" s="4"/>
      <c r="J133" s="3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>
      <c r="A134" s="1"/>
      <c r="B134" s="3"/>
      <c r="C134" s="4"/>
      <c r="D134" s="3"/>
      <c r="E134" s="4"/>
      <c r="F134" s="4"/>
      <c r="G134" s="4"/>
      <c r="H134" s="4"/>
      <c r="I134" s="4"/>
      <c r="J134" s="3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>
      <c r="A135" s="1"/>
      <c r="B135" s="3"/>
      <c r="C135" s="4"/>
      <c r="D135" s="3"/>
      <c r="E135" s="4"/>
      <c r="F135" s="4"/>
      <c r="G135" s="4"/>
      <c r="H135" s="4"/>
      <c r="I135" s="4"/>
      <c r="J135" s="3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>
      <c r="A136" s="1"/>
      <c r="B136" s="3"/>
      <c r="C136" s="4"/>
      <c r="D136" s="3"/>
      <c r="E136" s="4"/>
      <c r="F136" s="4"/>
      <c r="G136" s="4"/>
      <c r="H136" s="4"/>
      <c r="I136" s="4"/>
      <c r="J136" s="3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>
      <c r="A137" s="1"/>
      <c r="B137" s="3"/>
      <c r="C137" s="4"/>
      <c r="D137" s="3"/>
      <c r="E137" s="4"/>
      <c r="F137" s="4"/>
      <c r="G137" s="4"/>
      <c r="H137" s="4"/>
      <c r="I137" s="4"/>
      <c r="J137" s="3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>
      <c r="A138" s="1"/>
      <c r="B138" s="3"/>
      <c r="C138" s="4"/>
      <c r="D138" s="3"/>
      <c r="E138" s="4"/>
      <c r="F138" s="4"/>
      <c r="G138" s="4"/>
      <c r="H138" s="4"/>
      <c r="I138" s="4"/>
      <c r="J138" s="3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>
      <c r="A139" s="1"/>
      <c r="B139" s="3"/>
      <c r="C139" s="4"/>
      <c r="D139" s="3"/>
      <c r="E139" s="4"/>
      <c r="F139" s="4"/>
      <c r="G139" s="4"/>
      <c r="H139" s="4"/>
      <c r="I139" s="4"/>
      <c r="J139" s="3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>
      <c r="A140" s="1"/>
      <c r="B140" s="3"/>
      <c r="C140" s="4"/>
      <c r="D140" s="3"/>
      <c r="E140" s="4"/>
      <c r="F140" s="4"/>
      <c r="G140" s="4"/>
      <c r="H140" s="4"/>
      <c r="I140" s="4"/>
      <c r="J140" s="3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>
      <c r="A141" s="1"/>
      <c r="B141" s="3"/>
      <c r="C141" s="4"/>
      <c r="D141" s="3"/>
      <c r="E141" s="4"/>
      <c r="F141" s="4"/>
      <c r="G141" s="4"/>
      <c r="H141" s="4"/>
      <c r="I141" s="4"/>
      <c r="J141" s="3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>
      <c r="A142" s="1"/>
      <c r="B142" s="3"/>
      <c r="C142" s="4"/>
      <c r="D142" s="3"/>
      <c r="E142" s="4"/>
      <c r="F142" s="4"/>
      <c r="G142" s="4"/>
      <c r="H142" s="4"/>
      <c r="I142" s="4"/>
      <c r="J142" s="3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>
      <c r="A143" s="1"/>
      <c r="B143" s="3"/>
      <c r="C143" s="4"/>
      <c r="D143" s="3"/>
      <c r="E143" s="4"/>
      <c r="F143" s="4"/>
      <c r="G143" s="4"/>
      <c r="H143" s="4"/>
      <c r="I143" s="4"/>
      <c r="J143" s="3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>
      <c r="A144" s="1"/>
      <c r="B144" s="3"/>
      <c r="C144" s="4"/>
      <c r="D144" s="3"/>
      <c r="E144" s="4"/>
      <c r="F144" s="4"/>
      <c r="G144" s="4"/>
      <c r="H144" s="4"/>
      <c r="I144" s="4"/>
      <c r="J144" s="3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>
      <c r="A145" s="1"/>
      <c r="B145" s="3"/>
      <c r="C145" s="4"/>
      <c r="D145" s="3"/>
      <c r="E145" s="4"/>
      <c r="F145" s="4"/>
      <c r="G145" s="4"/>
      <c r="H145" s="4"/>
      <c r="I145" s="4"/>
      <c r="J145" s="3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>
      <c r="A146" s="1"/>
      <c r="B146" s="3"/>
      <c r="C146" s="4"/>
      <c r="D146" s="3"/>
      <c r="E146" s="4"/>
      <c r="F146" s="4"/>
      <c r="G146" s="4"/>
      <c r="H146" s="4"/>
      <c r="I146" s="4"/>
      <c r="J146" s="3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>
      <c r="A147" s="1"/>
      <c r="B147" s="3"/>
      <c r="C147" s="4"/>
      <c r="D147" s="3"/>
      <c r="E147" s="4"/>
      <c r="F147" s="4"/>
      <c r="G147" s="4"/>
      <c r="H147" s="4"/>
      <c r="I147" s="4"/>
      <c r="J147" s="3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>
      <c r="A148" s="1"/>
      <c r="B148" s="3"/>
      <c r="C148" s="4"/>
      <c r="D148" s="3"/>
      <c r="E148" s="4"/>
      <c r="F148" s="4"/>
      <c r="G148" s="4"/>
      <c r="H148" s="4"/>
      <c r="I148" s="4"/>
      <c r="J148" s="3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>
      <c r="A149" s="1"/>
      <c r="B149" s="3"/>
      <c r="C149" s="4"/>
      <c r="D149" s="3"/>
      <c r="E149" s="4"/>
      <c r="F149" s="4"/>
      <c r="G149" s="4"/>
      <c r="H149" s="4"/>
      <c r="I149" s="4"/>
      <c r="J149" s="3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>
      <c r="A150" s="1"/>
      <c r="B150" s="3"/>
      <c r="C150" s="4"/>
      <c r="D150" s="3"/>
      <c r="E150" s="4"/>
      <c r="F150" s="4"/>
      <c r="G150" s="4"/>
      <c r="H150" s="4"/>
      <c r="I150" s="4"/>
      <c r="J150" s="3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>
      <c r="A151" s="1"/>
      <c r="B151" s="3"/>
      <c r="C151" s="4"/>
      <c r="D151" s="3"/>
      <c r="E151" s="4"/>
      <c r="F151" s="4"/>
      <c r="G151" s="4"/>
      <c r="H151" s="4"/>
      <c r="I151" s="4"/>
      <c r="J151" s="3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>
      <c r="A152" s="1"/>
      <c r="B152" s="3"/>
      <c r="C152" s="4"/>
      <c r="D152" s="3"/>
      <c r="E152" s="4"/>
      <c r="F152" s="4"/>
      <c r="G152" s="4"/>
      <c r="H152" s="4"/>
      <c r="I152" s="4"/>
      <c r="J152" s="3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>
      <c r="A153" s="1"/>
      <c r="B153" s="3"/>
      <c r="C153" s="4"/>
      <c r="D153" s="3"/>
      <c r="E153" s="4"/>
      <c r="F153" s="4"/>
      <c r="G153" s="4"/>
      <c r="H153" s="4"/>
      <c r="I153" s="4"/>
      <c r="J153" s="3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>
      <c r="A154" s="1"/>
      <c r="B154" s="3"/>
      <c r="C154" s="4"/>
      <c r="D154" s="3"/>
      <c r="E154" s="4"/>
      <c r="F154" s="4"/>
      <c r="G154" s="4"/>
      <c r="H154" s="4"/>
      <c r="I154" s="4"/>
      <c r="J154" s="3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>
      <c r="A155" s="1"/>
      <c r="B155" s="3"/>
      <c r="C155" s="4"/>
      <c r="D155" s="3"/>
      <c r="E155" s="4"/>
      <c r="F155" s="4"/>
      <c r="G155" s="4"/>
      <c r="H155" s="4"/>
      <c r="I155" s="4"/>
      <c r="J155" s="3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>
      <c r="A156" s="1"/>
      <c r="B156" s="3"/>
      <c r="C156" s="4"/>
      <c r="D156" s="3"/>
      <c r="E156" s="4"/>
      <c r="F156" s="4"/>
      <c r="G156" s="4"/>
      <c r="H156" s="4"/>
      <c r="I156" s="4"/>
      <c r="J156" s="3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>
      <c r="A157" s="1"/>
      <c r="B157" s="3"/>
      <c r="C157" s="4"/>
      <c r="D157" s="3"/>
      <c r="E157" s="4"/>
      <c r="F157" s="4"/>
      <c r="G157" s="4"/>
      <c r="H157" s="4"/>
      <c r="I157" s="4"/>
      <c r="J157" s="3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>
      <c r="A158" s="1"/>
      <c r="B158" s="3"/>
      <c r="C158" s="4"/>
      <c r="D158" s="3"/>
      <c r="E158" s="4"/>
      <c r="F158" s="4"/>
      <c r="G158" s="4"/>
      <c r="H158" s="4"/>
      <c r="I158" s="4"/>
      <c r="J158" s="3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>
      <c r="A159" s="1"/>
      <c r="B159" s="3"/>
      <c r="C159" s="4"/>
      <c r="D159" s="3"/>
      <c r="E159" s="4"/>
      <c r="F159" s="4"/>
      <c r="G159" s="4"/>
      <c r="H159" s="4"/>
      <c r="I159" s="4"/>
      <c r="J159" s="3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>
      <c r="A160" s="1"/>
      <c r="B160" s="3"/>
      <c r="C160" s="4"/>
      <c r="D160" s="3"/>
      <c r="E160" s="4"/>
      <c r="F160" s="4"/>
      <c r="G160" s="4"/>
      <c r="H160" s="4"/>
      <c r="I160" s="4"/>
      <c r="J160" s="3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>
      <c r="A161" s="1"/>
      <c r="B161" s="3"/>
      <c r="C161" s="4"/>
      <c r="D161" s="3"/>
      <c r="E161" s="4"/>
      <c r="F161" s="4"/>
      <c r="G161" s="4"/>
      <c r="H161" s="4"/>
      <c r="I161" s="4"/>
      <c r="J161" s="3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>
      <c r="A162" s="1"/>
      <c r="B162" s="3"/>
      <c r="C162" s="4"/>
      <c r="D162" s="3"/>
      <c r="E162" s="4"/>
      <c r="F162" s="4"/>
      <c r="G162" s="4"/>
      <c r="H162" s="4"/>
      <c r="I162" s="4"/>
      <c r="J162" s="3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>
      <c r="A163" s="1"/>
      <c r="B163" s="3"/>
      <c r="C163" s="4"/>
      <c r="D163" s="3"/>
      <c r="E163" s="4"/>
      <c r="F163" s="4"/>
      <c r="G163" s="4"/>
      <c r="H163" s="4"/>
      <c r="I163" s="4"/>
      <c r="J163" s="3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>
      <c r="A164" s="1"/>
      <c r="B164" s="3"/>
      <c r="C164" s="4"/>
      <c r="D164" s="3"/>
      <c r="E164" s="4"/>
      <c r="F164" s="4"/>
      <c r="G164" s="4"/>
      <c r="H164" s="4"/>
      <c r="I164" s="4"/>
      <c r="J164" s="3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>
      <c r="A165" s="1"/>
      <c r="B165" s="3"/>
      <c r="C165" s="4"/>
      <c r="D165" s="3"/>
      <c r="E165" s="4"/>
      <c r="F165" s="4"/>
      <c r="G165" s="4"/>
      <c r="H165" s="4"/>
      <c r="I165" s="4"/>
      <c r="J165" s="3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>
      <c r="A166" s="1"/>
      <c r="B166" s="3"/>
      <c r="C166" s="4"/>
      <c r="D166" s="3"/>
      <c r="E166" s="4"/>
      <c r="F166" s="4"/>
      <c r="G166" s="4"/>
      <c r="H166" s="4"/>
      <c r="I166" s="4"/>
      <c r="J166" s="3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>
      <c r="A167" s="1"/>
      <c r="B167" s="3"/>
      <c r="C167" s="4"/>
      <c r="D167" s="3"/>
      <c r="E167" s="4"/>
      <c r="F167" s="4"/>
      <c r="G167" s="4"/>
      <c r="H167" s="4"/>
      <c r="I167" s="4"/>
      <c r="J167" s="3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>
      <c r="A168" s="1"/>
      <c r="B168" s="3"/>
      <c r="C168" s="4"/>
      <c r="D168" s="3"/>
      <c r="E168" s="4"/>
      <c r="F168" s="4"/>
      <c r="G168" s="4"/>
      <c r="H168" s="4"/>
      <c r="I168" s="4"/>
      <c r="J168" s="3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>
      <c r="A169" s="1"/>
      <c r="B169" s="3"/>
      <c r="C169" s="4"/>
      <c r="D169" s="3"/>
      <c r="E169" s="4"/>
      <c r="F169" s="4"/>
      <c r="G169" s="4"/>
      <c r="H169" s="4"/>
      <c r="I169" s="4"/>
      <c r="J169" s="3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>
      <c r="A170" s="1"/>
      <c r="B170" s="3"/>
      <c r="C170" s="4"/>
      <c r="D170" s="3"/>
      <c r="E170" s="4"/>
      <c r="F170" s="4"/>
      <c r="G170" s="4"/>
      <c r="H170" s="4"/>
      <c r="I170" s="4"/>
      <c r="J170" s="3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>
      <c r="A171" s="1"/>
      <c r="B171" s="3"/>
      <c r="C171" s="4"/>
      <c r="D171" s="3"/>
      <c r="E171" s="4"/>
      <c r="F171" s="4"/>
      <c r="G171" s="4"/>
      <c r="H171" s="4"/>
      <c r="I171" s="4"/>
      <c r="J171" s="3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>
      <c r="A172" s="1"/>
      <c r="B172" s="3"/>
      <c r="C172" s="4"/>
      <c r="D172" s="3"/>
      <c r="E172" s="4"/>
      <c r="F172" s="4"/>
      <c r="G172" s="4"/>
      <c r="H172" s="4"/>
      <c r="I172" s="4"/>
      <c r="J172" s="3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>
      <c r="A173" s="1"/>
      <c r="B173" s="3"/>
      <c r="C173" s="4"/>
      <c r="D173" s="3"/>
      <c r="E173" s="4"/>
      <c r="F173" s="4"/>
      <c r="G173" s="4"/>
      <c r="H173" s="4"/>
      <c r="I173" s="4"/>
      <c r="J173" s="3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>
      <c r="A174" s="1"/>
      <c r="B174" s="3"/>
      <c r="C174" s="4"/>
      <c r="D174" s="3"/>
      <c r="E174" s="4"/>
      <c r="F174" s="4"/>
      <c r="G174" s="4"/>
      <c r="H174" s="4"/>
      <c r="I174" s="4"/>
      <c r="J174" s="3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>
      <c r="A175" s="1"/>
      <c r="B175" s="3"/>
      <c r="C175" s="4"/>
      <c r="D175" s="3"/>
      <c r="E175" s="4"/>
      <c r="F175" s="4"/>
      <c r="G175" s="4"/>
      <c r="H175" s="4"/>
      <c r="I175" s="4"/>
      <c r="J175" s="3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>
      <c r="A176" s="1"/>
      <c r="B176" s="3"/>
      <c r="C176" s="4"/>
      <c r="D176" s="3"/>
      <c r="E176" s="4"/>
      <c r="F176" s="4"/>
      <c r="G176" s="4"/>
      <c r="H176" s="4"/>
      <c r="I176" s="4"/>
      <c r="J176" s="3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>
      <c r="A177" s="1"/>
      <c r="B177" s="3"/>
      <c r="C177" s="4"/>
      <c r="D177" s="3"/>
      <c r="E177" s="4"/>
      <c r="F177" s="4"/>
      <c r="G177" s="4"/>
      <c r="H177" s="4"/>
      <c r="I177" s="4"/>
      <c r="J177" s="3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>
      <c r="A178" s="1"/>
      <c r="B178" s="3"/>
      <c r="C178" s="4"/>
      <c r="D178" s="3"/>
      <c r="E178" s="4"/>
      <c r="F178" s="4"/>
      <c r="G178" s="4"/>
      <c r="H178" s="4"/>
      <c r="I178" s="4"/>
      <c r="J178" s="3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>
      <c r="A179" s="1"/>
      <c r="B179" s="3"/>
      <c r="C179" s="4"/>
      <c r="D179" s="3"/>
      <c r="E179" s="4"/>
      <c r="F179" s="4"/>
      <c r="G179" s="4"/>
      <c r="H179" s="4"/>
      <c r="I179" s="4"/>
      <c r="J179" s="3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>
      <c r="A180" s="1"/>
      <c r="B180" s="3"/>
      <c r="C180" s="4"/>
      <c r="D180" s="3"/>
      <c r="E180" s="4"/>
      <c r="F180" s="4"/>
      <c r="G180" s="4"/>
      <c r="H180" s="4"/>
      <c r="I180" s="4"/>
      <c r="J180" s="3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>
      <c r="A181" s="1"/>
      <c r="B181" s="3"/>
      <c r="C181" s="4"/>
      <c r="D181" s="3"/>
      <c r="E181" s="4"/>
      <c r="F181" s="4"/>
      <c r="G181" s="4"/>
      <c r="H181" s="4"/>
      <c r="I181" s="4"/>
      <c r="J181" s="3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>
      <c r="A182" s="1"/>
      <c r="B182" s="3"/>
      <c r="C182" s="4"/>
      <c r="D182" s="3"/>
      <c r="E182" s="4"/>
      <c r="F182" s="4"/>
      <c r="G182" s="4"/>
      <c r="H182" s="4"/>
      <c r="I182" s="4"/>
      <c r="J182" s="3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>
      <c r="A183" s="1"/>
      <c r="B183" s="3"/>
      <c r="C183" s="4"/>
      <c r="D183" s="3"/>
      <c r="E183" s="4"/>
      <c r="F183" s="4"/>
      <c r="G183" s="4"/>
      <c r="H183" s="4"/>
      <c r="I183" s="4"/>
      <c r="J183" s="3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>
      <c r="A184" s="1"/>
      <c r="B184" s="3"/>
      <c r="C184" s="4"/>
      <c r="D184" s="3"/>
      <c r="E184" s="4"/>
      <c r="F184" s="4"/>
      <c r="G184" s="4"/>
      <c r="H184" s="4"/>
      <c r="I184" s="4"/>
      <c r="J184" s="3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>
      <c r="A185" s="1"/>
      <c r="B185" s="3"/>
      <c r="C185" s="4"/>
      <c r="D185" s="3"/>
      <c r="E185" s="4"/>
      <c r="F185" s="4"/>
      <c r="G185" s="4"/>
      <c r="H185" s="4"/>
      <c r="I185" s="4"/>
      <c r="J185" s="3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>
      <c r="A186" s="1"/>
      <c r="B186" s="3"/>
      <c r="C186" s="4"/>
      <c r="D186" s="3"/>
      <c r="E186" s="4"/>
      <c r="F186" s="4"/>
      <c r="G186" s="4"/>
      <c r="H186" s="4"/>
      <c r="I186" s="4"/>
      <c r="J186" s="3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>
      <c r="A187" s="1"/>
      <c r="B187" s="3"/>
      <c r="C187" s="4"/>
      <c r="D187" s="3"/>
      <c r="E187" s="4"/>
      <c r="F187" s="4"/>
      <c r="G187" s="4"/>
      <c r="H187" s="4"/>
      <c r="I187" s="4"/>
      <c r="J187" s="3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>
      <c r="A188" s="1"/>
      <c r="B188" s="3"/>
      <c r="C188" s="4"/>
      <c r="D188" s="3"/>
      <c r="E188" s="4"/>
      <c r="F188" s="4"/>
      <c r="G188" s="4"/>
      <c r="H188" s="4"/>
      <c r="I188" s="4"/>
      <c r="J188" s="3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>
      <c r="A189" s="1"/>
      <c r="B189" s="3"/>
      <c r="C189" s="4"/>
      <c r="D189" s="3"/>
      <c r="E189" s="4"/>
      <c r="F189" s="4"/>
      <c r="G189" s="4"/>
      <c r="H189" s="4"/>
      <c r="I189" s="4"/>
      <c r="J189" s="3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>
      <c r="A190" s="1"/>
      <c r="B190" s="3"/>
      <c r="C190" s="4"/>
      <c r="D190" s="3"/>
      <c r="E190" s="4"/>
      <c r="F190" s="4"/>
      <c r="G190" s="4"/>
      <c r="H190" s="4"/>
      <c r="I190" s="4"/>
      <c r="J190" s="3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>
      <c r="A191" s="1"/>
      <c r="B191" s="3"/>
      <c r="C191" s="4"/>
      <c r="D191" s="3"/>
      <c r="E191" s="4"/>
      <c r="F191" s="4"/>
      <c r="G191" s="4"/>
      <c r="H191" s="4"/>
      <c r="I191" s="4"/>
      <c r="J191" s="3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>
      <c r="A192" s="1"/>
      <c r="B192" s="3"/>
      <c r="C192" s="4"/>
      <c r="D192" s="3"/>
      <c r="E192" s="4"/>
      <c r="F192" s="4"/>
      <c r="G192" s="4"/>
      <c r="H192" s="4"/>
      <c r="I192" s="4"/>
      <c r="J192" s="3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>
      <c r="A193" s="1"/>
      <c r="B193" s="3"/>
      <c r="C193" s="4"/>
      <c r="D193" s="3"/>
      <c r="E193" s="4"/>
      <c r="F193" s="4"/>
      <c r="G193" s="4"/>
      <c r="H193" s="4"/>
      <c r="I193" s="4"/>
      <c r="J193" s="3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>
      <c r="A194" s="1"/>
      <c r="B194" s="3"/>
      <c r="C194" s="4"/>
      <c r="D194" s="3"/>
      <c r="E194" s="4"/>
      <c r="F194" s="4"/>
      <c r="G194" s="4"/>
      <c r="H194" s="4"/>
      <c r="I194" s="4"/>
      <c r="J194" s="3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>
      <c r="A195" s="1"/>
      <c r="B195" s="3"/>
      <c r="C195" s="4"/>
      <c r="D195" s="3"/>
      <c r="E195" s="4"/>
      <c r="F195" s="4"/>
      <c r="G195" s="4"/>
      <c r="H195" s="4"/>
      <c r="I195" s="4"/>
      <c r="J195" s="3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>
      <c r="A196" s="1"/>
      <c r="B196" s="3"/>
      <c r="C196" s="4"/>
      <c r="D196" s="3"/>
      <c r="E196" s="4"/>
      <c r="F196" s="4"/>
      <c r="G196" s="4"/>
      <c r="H196" s="4"/>
      <c r="I196" s="4"/>
      <c r="J196" s="3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>
      <c r="A197" s="1"/>
      <c r="B197" s="3"/>
      <c r="C197" s="4"/>
      <c r="D197" s="3"/>
      <c r="E197" s="4"/>
      <c r="F197" s="4"/>
      <c r="G197" s="4"/>
      <c r="H197" s="4"/>
      <c r="I197" s="4"/>
      <c r="J197" s="3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>
      <c r="A198" s="1"/>
      <c r="B198" s="3"/>
      <c r="C198" s="4"/>
      <c r="D198" s="3"/>
      <c r="E198" s="4"/>
      <c r="F198" s="4"/>
      <c r="G198" s="4"/>
      <c r="H198" s="4"/>
      <c r="I198" s="4"/>
      <c r="J198" s="3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>
      <c r="A199" s="1"/>
      <c r="B199" s="3"/>
      <c r="C199" s="4"/>
      <c r="D199" s="3"/>
      <c r="E199" s="4"/>
      <c r="F199" s="4"/>
      <c r="G199" s="4"/>
      <c r="H199" s="4"/>
      <c r="I199" s="4"/>
      <c r="J199" s="3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>
      <c r="A200" s="1"/>
      <c r="B200" s="3"/>
      <c r="C200" s="4"/>
      <c r="D200" s="3"/>
      <c r="E200" s="4"/>
      <c r="F200" s="4"/>
      <c r="G200" s="4"/>
      <c r="H200" s="4"/>
      <c r="I200" s="4"/>
      <c r="J200" s="3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>
      <c r="A201" s="1"/>
      <c r="B201" s="3"/>
      <c r="C201" s="4"/>
      <c r="D201" s="3"/>
      <c r="E201" s="4"/>
      <c r="F201" s="4"/>
      <c r="G201" s="4"/>
      <c r="H201" s="4"/>
      <c r="I201" s="4"/>
      <c r="J201" s="3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>
      <c r="A202" s="1"/>
      <c r="B202" s="3"/>
      <c r="C202" s="4"/>
      <c r="D202" s="3"/>
      <c r="E202" s="4"/>
      <c r="F202" s="4"/>
      <c r="G202" s="4"/>
      <c r="H202" s="4"/>
      <c r="I202" s="4"/>
      <c r="J202" s="3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>
      <c r="A203" s="1"/>
      <c r="B203" s="3"/>
      <c r="C203" s="4"/>
      <c r="D203" s="3"/>
      <c r="E203" s="4"/>
      <c r="F203" s="4"/>
      <c r="G203" s="4"/>
      <c r="H203" s="4"/>
      <c r="I203" s="4"/>
      <c r="J203" s="3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>
      <c r="A204" s="1"/>
      <c r="B204" s="3"/>
      <c r="C204" s="4"/>
      <c r="D204" s="3"/>
      <c r="E204" s="4"/>
      <c r="F204" s="4"/>
      <c r="G204" s="4"/>
      <c r="H204" s="4"/>
      <c r="I204" s="4"/>
      <c r="J204" s="3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>
      <c r="A205" s="1"/>
      <c r="B205" s="3"/>
      <c r="C205" s="4"/>
      <c r="D205" s="3"/>
      <c r="E205" s="4"/>
      <c r="F205" s="4"/>
      <c r="G205" s="4"/>
      <c r="H205" s="4"/>
      <c r="I205" s="4"/>
      <c r="J205" s="3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>
      <c r="A206" s="1"/>
      <c r="B206" s="3"/>
      <c r="C206" s="4"/>
      <c r="D206" s="3"/>
      <c r="E206" s="4"/>
      <c r="F206" s="4"/>
      <c r="G206" s="4"/>
      <c r="H206" s="4"/>
      <c r="I206" s="4"/>
      <c r="J206" s="3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>
      <c r="A207" s="1"/>
      <c r="B207" s="3"/>
      <c r="C207" s="4"/>
      <c r="D207" s="3"/>
      <c r="E207" s="4"/>
      <c r="F207" s="4"/>
      <c r="G207" s="4"/>
      <c r="H207" s="4"/>
      <c r="I207" s="4"/>
      <c r="J207" s="3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>
      <c r="A208" s="1"/>
      <c r="B208" s="3"/>
      <c r="C208" s="4"/>
      <c r="D208" s="3"/>
      <c r="E208" s="4"/>
      <c r="F208" s="4"/>
      <c r="G208" s="4"/>
      <c r="H208" s="4"/>
      <c r="I208" s="4"/>
      <c r="J208" s="3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>
      <c r="A209" s="1"/>
      <c r="B209" s="3"/>
      <c r="C209" s="4"/>
      <c r="D209" s="3"/>
      <c r="E209" s="4"/>
      <c r="F209" s="4"/>
      <c r="G209" s="4"/>
      <c r="H209" s="4"/>
      <c r="I209" s="4"/>
      <c r="J209" s="3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>
      <c r="A210" s="1"/>
      <c r="B210" s="3"/>
      <c r="C210" s="4"/>
      <c r="D210" s="3"/>
      <c r="E210" s="4"/>
      <c r="F210" s="4"/>
      <c r="G210" s="4"/>
      <c r="H210" s="4"/>
      <c r="I210" s="4"/>
      <c r="J210" s="3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>
      <c r="A211" s="1"/>
      <c r="B211" s="3"/>
      <c r="C211" s="4"/>
      <c r="D211" s="3"/>
      <c r="E211" s="4"/>
      <c r="F211" s="4"/>
      <c r="G211" s="4"/>
      <c r="H211" s="4"/>
      <c r="I211" s="4"/>
      <c r="J211" s="3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>
      <c r="A212" s="1"/>
      <c r="B212" s="3"/>
      <c r="C212" s="4"/>
      <c r="D212" s="3"/>
      <c r="E212" s="4"/>
      <c r="F212" s="4"/>
      <c r="G212" s="4"/>
      <c r="H212" s="4"/>
      <c r="I212" s="4"/>
      <c r="J212" s="3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>
      <c r="A213" s="1"/>
      <c r="B213" s="3"/>
      <c r="C213" s="4"/>
      <c r="D213" s="3"/>
      <c r="E213" s="4"/>
      <c r="F213" s="4"/>
      <c r="G213" s="4"/>
      <c r="H213" s="4"/>
      <c r="I213" s="4"/>
      <c r="J213" s="3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>
      <c r="A214" s="1"/>
      <c r="B214" s="3"/>
      <c r="C214" s="4"/>
      <c r="D214" s="3"/>
      <c r="E214" s="4"/>
      <c r="F214" s="4"/>
      <c r="G214" s="4"/>
      <c r="H214" s="4"/>
      <c r="I214" s="4"/>
      <c r="J214" s="3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>
      <c r="A215" s="1"/>
      <c r="B215" s="3"/>
      <c r="C215" s="4"/>
      <c r="D215" s="3"/>
      <c r="E215" s="4"/>
      <c r="F215" s="4"/>
      <c r="G215" s="4"/>
      <c r="H215" s="4"/>
      <c r="I215" s="4"/>
      <c r="J215" s="3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>
      <c r="A216" s="1"/>
      <c r="B216" s="3"/>
      <c r="C216" s="4"/>
      <c r="D216" s="3"/>
      <c r="E216" s="4"/>
      <c r="F216" s="4"/>
      <c r="G216" s="4"/>
      <c r="H216" s="4"/>
      <c r="I216" s="4"/>
      <c r="J216" s="3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>
      <c r="A217" s="1"/>
      <c r="B217" s="3"/>
      <c r="C217" s="4"/>
      <c r="D217" s="3"/>
      <c r="E217" s="4"/>
      <c r="F217" s="4"/>
      <c r="G217" s="4"/>
      <c r="H217" s="4"/>
      <c r="I217" s="4"/>
      <c r="J217" s="3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>
      <c r="A218" s="1"/>
      <c r="B218" s="3"/>
      <c r="C218" s="4"/>
      <c r="D218" s="3"/>
      <c r="E218" s="4"/>
      <c r="F218" s="4"/>
      <c r="G218" s="4"/>
      <c r="H218" s="4"/>
      <c r="I218" s="4"/>
      <c r="J218" s="3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>
      <c r="A219" s="1"/>
      <c r="B219" s="3"/>
      <c r="C219" s="4"/>
      <c r="D219" s="3"/>
      <c r="E219" s="4"/>
      <c r="F219" s="4"/>
      <c r="G219" s="4"/>
      <c r="H219" s="4"/>
      <c r="I219" s="4"/>
      <c r="J219" s="3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>
      <c r="A220" s="1"/>
      <c r="B220" s="3"/>
      <c r="C220" s="4"/>
      <c r="D220" s="3"/>
      <c r="E220" s="4"/>
      <c r="F220" s="4"/>
      <c r="G220" s="4"/>
      <c r="H220" s="4"/>
      <c r="I220" s="4"/>
      <c r="J220" s="3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>
      <c r="A221" s="1"/>
      <c r="B221" s="3"/>
      <c r="C221" s="4"/>
      <c r="D221" s="3"/>
      <c r="E221" s="4"/>
      <c r="F221" s="4"/>
      <c r="G221" s="4"/>
      <c r="H221" s="4"/>
      <c r="I221" s="4"/>
      <c r="J221" s="3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>
      <c r="A222" s="1"/>
      <c r="B222" s="3"/>
      <c r="C222" s="4"/>
      <c r="D222" s="3"/>
      <c r="E222" s="4"/>
      <c r="F222" s="4"/>
      <c r="G222" s="4"/>
      <c r="H222" s="4"/>
      <c r="I222" s="4"/>
      <c r="J222" s="3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>
      <c r="A223" s="1"/>
      <c r="B223" s="3"/>
      <c r="C223" s="4"/>
      <c r="D223" s="3"/>
      <c r="E223" s="4"/>
      <c r="F223" s="4"/>
      <c r="G223" s="4"/>
      <c r="H223" s="4"/>
      <c r="I223" s="4"/>
      <c r="J223" s="3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>
      <c r="A224" s="1"/>
      <c r="B224" s="3"/>
      <c r="C224" s="4"/>
      <c r="D224" s="3"/>
      <c r="E224" s="4"/>
      <c r="F224" s="4"/>
      <c r="G224" s="4"/>
      <c r="H224" s="4"/>
      <c r="I224" s="4"/>
      <c r="J224" s="3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>
      <c r="A225" s="1"/>
      <c r="B225" s="3"/>
      <c r="C225" s="4"/>
      <c r="D225" s="3"/>
      <c r="E225" s="4"/>
      <c r="F225" s="4"/>
      <c r="G225" s="4"/>
      <c r="H225" s="4"/>
      <c r="I225" s="4"/>
      <c r="J225" s="3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>
      <c r="A226" s="1"/>
      <c r="B226" s="3"/>
      <c r="C226" s="4"/>
      <c r="D226" s="3"/>
      <c r="E226" s="4"/>
      <c r="F226" s="4"/>
      <c r="G226" s="4"/>
      <c r="H226" s="4"/>
      <c r="I226" s="4"/>
      <c r="J226" s="3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>
      <c r="A227" s="1"/>
      <c r="B227" s="3"/>
      <c r="C227" s="4"/>
      <c r="D227" s="3"/>
      <c r="E227" s="4"/>
      <c r="F227" s="4"/>
      <c r="G227" s="4"/>
      <c r="H227" s="4"/>
      <c r="I227" s="4"/>
      <c r="J227" s="3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>
      <c r="A228" s="1"/>
      <c r="B228" s="3"/>
      <c r="C228" s="4"/>
      <c r="D228" s="3"/>
      <c r="E228" s="4"/>
      <c r="F228" s="4"/>
      <c r="G228" s="4"/>
      <c r="H228" s="4"/>
      <c r="I228" s="4"/>
      <c r="J228" s="3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>
      <c r="A229" s="1"/>
      <c r="B229" s="3"/>
      <c r="C229" s="4"/>
      <c r="D229" s="3"/>
      <c r="E229" s="4"/>
      <c r="F229" s="4"/>
      <c r="G229" s="4"/>
      <c r="H229" s="4"/>
      <c r="I229" s="4"/>
      <c r="J229" s="3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>
      <c r="A230" s="1"/>
      <c r="B230" s="3"/>
      <c r="C230" s="4"/>
      <c r="D230" s="3"/>
      <c r="E230" s="4"/>
      <c r="F230" s="4"/>
      <c r="G230" s="4"/>
      <c r="H230" s="4"/>
      <c r="I230" s="4"/>
      <c r="J230" s="3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>
      <c r="A231" s="1"/>
      <c r="B231" s="3"/>
      <c r="C231" s="4"/>
      <c r="D231" s="3"/>
      <c r="E231" s="4"/>
      <c r="F231" s="4"/>
      <c r="G231" s="4"/>
      <c r="H231" s="4"/>
      <c r="I231" s="4"/>
      <c r="J231" s="3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>
      <c r="A232" s="1"/>
      <c r="B232" s="3"/>
      <c r="C232" s="4"/>
      <c r="D232" s="3"/>
      <c r="E232" s="4"/>
      <c r="F232" s="4"/>
      <c r="G232" s="4"/>
      <c r="H232" s="4"/>
      <c r="I232" s="4"/>
      <c r="J232" s="3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>
      <c r="A233" s="1"/>
      <c r="B233" s="3"/>
      <c r="C233" s="4"/>
      <c r="D233" s="3"/>
      <c r="E233" s="4"/>
      <c r="F233" s="4"/>
      <c r="G233" s="4"/>
      <c r="H233" s="4"/>
      <c r="I233" s="4"/>
      <c r="J233" s="3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>
      <c r="A234" s="1"/>
      <c r="B234" s="3"/>
      <c r="C234" s="4"/>
      <c r="D234" s="3"/>
      <c r="E234" s="4"/>
      <c r="F234" s="4"/>
      <c r="G234" s="4"/>
      <c r="H234" s="4"/>
      <c r="I234" s="4"/>
      <c r="J234" s="3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>
      <c r="A235" s="1"/>
      <c r="B235" s="3"/>
      <c r="C235" s="4"/>
      <c r="D235" s="3"/>
      <c r="E235" s="4"/>
      <c r="F235" s="4"/>
      <c r="G235" s="4"/>
      <c r="H235" s="4"/>
      <c r="I235" s="4"/>
      <c r="J235" s="3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>
      <c r="A236" s="1"/>
      <c r="B236" s="3"/>
      <c r="C236" s="4"/>
      <c r="D236" s="3"/>
      <c r="E236" s="4"/>
      <c r="F236" s="4"/>
      <c r="G236" s="4"/>
      <c r="H236" s="4"/>
      <c r="I236" s="4"/>
      <c r="J236" s="3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>
      <c r="A237" s="1"/>
      <c r="B237" s="3"/>
      <c r="C237" s="4"/>
      <c r="D237" s="3"/>
      <c r="E237" s="4"/>
      <c r="F237" s="4"/>
      <c r="G237" s="4"/>
      <c r="H237" s="4"/>
      <c r="I237" s="4"/>
      <c r="J237" s="3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>
      <c r="A238" s="1"/>
      <c r="B238" s="3"/>
      <c r="C238" s="4"/>
      <c r="D238" s="3"/>
      <c r="E238" s="4"/>
      <c r="F238" s="4"/>
      <c r="G238" s="4"/>
      <c r="H238" s="4"/>
      <c r="I238" s="4"/>
      <c r="J238" s="3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>
      <c r="A239" s="1"/>
      <c r="B239" s="3"/>
      <c r="C239" s="4"/>
      <c r="D239" s="3"/>
      <c r="E239" s="4"/>
      <c r="F239" s="4"/>
      <c r="G239" s="4"/>
      <c r="H239" s="4"/>
      <c r="I239" s="4"/>
      <c r="J239" s="3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>
      <c r="A240" s="1"/>
      <c r="B240" s="3"/>
      <c r="C240" s="4"/>
      <c r="D240" s="3"/>
      <c r="E240" s="4"/>
      <c r="F240" s="4"/>
      <c r="G240" s="4"/>
      <c r="H240" s="4"/>
      <c r="I240" s="4"/>
      <c r="J240" s="3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>
      <c r="A241" s="1"/>
      <c r="B241" s="3"/>
      <c r="C241" s="4"/>
      <c r="D241" s="3"/>
      <c r="E241" s="4"/>
      <c r="F241" s="4"/>
      <c r="G241" s="4"/>
      <c r="H241" s="4"/>
      <c r="I241" s="4"/>
      <c r="J241" s="3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>
      <c r="A242" s="1"/>
      <c r="B242" s="3"/>
      <c r="C242" s="4"/>
      <c r="D242" s="3"/>
      <c r="E242" s="4"/>
      <c r="F242" s="4"/>
      <c r="G242" s="4"/>
      <c r="H242" s="4"/>
      <c r="I242" s="4"/>
      <c r="J242" s="3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>
      <c r="A243" s="1"/>
      <c r="B243" s="3"/>
      <c r="C243" s="4"/>
      <c r="D243" s="3"/>
      <c r="E243" s="4"/>
      <c r="F243" s="4"/>
      <c r="G243" s="4"/>
      <c r="H243" s="4"/>
      <c r="I243" s="4"/>
      <c r="J243" s="3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>
      <c r="A244" s="1"/>
      <c r="B244" s="3"/>
      <c r="C244" s="4"/>
      <c r="D244" s="3"/>
      <c r="E244" s="4"/>
      <c r="F244" s="4"/>
      <c r="G244" s="4"/>
      <c r="H244" s="4"/>
      <c r="I244" s="4"/>
      <c r="J244" s="3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>
      <c r="A245" s="1"/>
      <c r="B245" s="3"/>
      <c r="C245" s="4"/>
      <c r="D245" s="3"/>
      <c r="E245" s="4"/>
      <c r="F245" s="4"/>
      <c r="G245" s="4"/>
      <c r="H245" s="4"/>
      <c r="I245" s="4"/>
      <c r="J245" s="3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>
      <c r="A246" s="1"/>
      <c r="B246" s="3"/>
      <c r="C246" s="4"/>
      <c r="D246" s="3"/>
      <c r="E246" s="4"/>
      <c r="F246" s="4"/>
      <c r="G246" s="4"/>
      <c r="H246" s="4"/>
      <c r="I246" s="4"/>
      <c r="J246" s="3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>
      <c r="A247" s="1"/>
      <c r="B247" s="3"/>
      <c r="C247" s="4"/>
      <c r="D247" s="3"/>
      <c r="E247" s="4"/>
      <c r="F247" s="4"/>
      <c r="G247" s="4"/>
      <c r="H247" s="4"/>
      <c r="I247" s="4"/>
      <c r="J247" s="3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>
      <c r="A248" s="1"/>
      <c r="B248" s="3"/>
      <c r="C248" s="4"/>
      <c r="D248" s="3"/>
      <c r="E248" s="4"/>
      <c r="F248" s="4"/>
      <c r="G248" s="4"/>
      <c r="H248" s="4"/>
      <c r="I248" s="4"/>
      <c r="J248" s="3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>
      <c r="A249" s="1"/>
      <c r="B249" s="3"/>
      <c r="C249" s="4"/>
      <c r="D249" s="3"/>
      <c r="E249" s="4"/>
      <c r="F249" s="4"/>
      <c r="G249" s="4"/>
      <c r="H249" s="4"/>
      <c r="I249" s="4"/>
      <c r="J249" s="3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>
      <c r="A250" s="1"/>
      <c r="B250" s="3"/>
      <c r="C250" s="4"/>
      <c r="D250" s="3"/>
      <c r="E250" s="4"/>
      <c r="F250" s="4"/>
      <c r="G250" s="4"/>
      <c r="H250" s="4"/>
      <c r="I250" s="4"/>
      <c r="J250" s="3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>
      <c r="A251" s="1"/>
      <c r="B251" s="3"/>
      <c r="C251" s="4"/>
      <c r="D251" s="3"/>
      <c r="E251" s="4"/>
      <c r="F251" s="4"/>
      <c r="G251" s="4"/>
      <c r="H251" s="4"/>
      <c r="I251" s="4"/>
      <c r="J251" s="3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>
      <c r="A252" s="1"/>
      <c r="B252" s="3"/>
      <c r="C252" s="4"/>
      <c r="D252" s="3"/>
      <c r="E252" s="4"/>
      <c r="F252" s="4"/>
      <c r="G252" s="4"/>
      <c r="H252" s="4"/>
      <c r="I252" s="4"/>
      <c r="J252" s="3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>
      <c r="A253" s="1"/>
      <c r="B253" s="3"/>
      <c r="C253" s="4"/>
      <c r="D253" s="3"/>
      <c r="E253" s="4"/>
      <c r="F253" s="4"/>
      <c r="G253" s="4"/>
      <c r="H253" s="4"/>
      <c r="I253" s="4"/>
      <c r="J253" s="3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>
      <c r="A254" s="1"/>
      <c r="B254" s="3"/>
      <c r="C254" s="4"/>
      <c r="D254" s="3"/>
      <c r="E254" s="4"/>
      <c r="F254" s="4"/>
      <c r="G254" s="4"/>
      <c r="H254" s="4"/>
      <c r="I254" s="4"/>
      <c r="J254" s="3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>
      <c r="A255" s="1"/>
      <c r="B255" s="3"/>
      <c r="C255" s="4"/>
      <c r="D255" s="3"/>
      <c r="E255" s="4"/>
      <c r="F255" s="4"/>
      <c r="G255" s="4"/>
      <c r="H255" s="4"/>
      <c r="I255" s="4"/>
      <c r="J255" s="3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>
      <c r="A256" s="1"/>
      <c r="B256" s="3"/>
      <c r="C256" s="4"/>
      <c r="D256" s="3"/>
      <c r="E256" s="4"/>
      <c r="F256" s="4"/>
      <c r="G256" s="4"/>
      <c r="H256" s="4"/>
      <c r="I256" s="4"/>
      <c r="J256" s="3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>
      <c r="A257" s="1"/>
      <c r="B257" s="3"/>
      <c r="C257" s="4"/>
      <c r="D257" s="3"/>
      <c r="E257" s="4"/>
      <c r="F257" s="4"/>
      <c r="G257" s="4"/>
      <c r="H257" s="4"/>
      <c r="I257" s="4"/>
      <c r="J257" s="3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>
      <c r="A258" s="1"/>
      <c r="B258" s="3"/>
      <c r="C258" s="4"/>
      <c r="D258" s="3"/>
      <c r="E258" s="4"/>
      <c r="F258" s="4"/>
      <c r="G258" s="4"/>
      <c r="H258" s="4"/>
      <c r="I258" s="4"/>
      <c r="J258" s="3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>
      <c r="A259" s="1"/>
      <c r="B259" s="3"/>
      <c r="C259" s="4"/>
      <c r="D259" s="3"/>
      <c r="E259" s="4"/>
      <c r="F259" s="4"/>
      <c r="G259" s="4"/>
      <c r="H259" s="4"/>
      <c r="I259" s="4"/>
      <c r="J259" s="3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>
      <c r="A260" s="1"/>
      <c r="B260" s="3"/>
      <c r="C260" s="4"/>
      <c r="D260" s="3"/>
      <c r="E260" s="4"/>
      <c r="F260" s="4"/>
      <c r="G260" s="4"/>
      <c r="H260" s="4"/>
      <c r="I260" s="4"/>
      <c r="J260" s="3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>
      <c r="A261" s="1"/>
      <c r="B261" s="3"/>
      <c r="C261" s="4"/>
      <c r="D261" s="3"/>
      <c r="E261" s="4"/>
      <c r="F261" s="4"/>
      <c r="G261" s="4"/>
      <c r="H261" s="4"/>
      <c r="I261" s="4"/>
      <c r="J261" s="3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>
      <c r="A262" s="1"/>
      <c r="B262" s="3"/>
      <c r="C262" s="4"/>
      <c r="D262" s="3"/>
      <c r="E262" s="4"/>
      <c r="F262" s="4"/>
      <c r="G262" s="4"/>
      <c r="H262" s="4"/>
      <c r="I262" s="4"/>
      <c r="J262" s="3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>
      <c r="A263" s="1"/>
      <c r="B263" s="3"/>
      <c r="C263" s="4"/>
      <c r="D263" s="3"/>
      <c r="E263" s="4"/>
      <c r="F263" s="4"/>
      <c r="G263" s="4"/>
      <c r="H263" s="4"/>
      <c r="I263" s="4"/>
      <c r="J263" s="3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>
      <c r="A264" s="1"/>
      <c r="B264" s="3"/>
      <c r="C264" s="4"/>
      <c r="D264" s="3"/>
      <c r="E264" s="4"/>
      <c r="F264" s="4"/>
      <c r="G264" s="4"/>
      <c r="H264" s="4"/>
      <c r="I264" s="4"/>
      <c r="J264" s="3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>
      <c r="A265" s="1"/>
      <c r="B265" s="3"/>
      <c r="C265" s="4"/>
      <c r="D265" s="3"/>
      <c r="E265" s="4"/>
      <c r="F265" s="4"/>
      <c r="G265" s="4"/>
      <c r="H265" s="4"/>
      <c r="I265" s="4"/>
      <c r="J265" s="3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>
      <c r="A266" s="1"/>
      <c r="B266" s="3"/>
      <c r="C266" s="4"/>
      <c r="D266" s="3"/>
      <c r="E266" s="4"/>
      <c r="F266" s="4"/>
      <c r="G266" s="4"/>
      <c r="H266" s="4"/>
      <c r="I266" s="4"/>
      <c r="J266" s="3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>
      <c r="A267" s="1"/>
      <c r="B267" s="3"/>
      <c r="C267" s="4"/>
      <c r="D267" s="3"/>
      <c r="E267" s="4"/>
      <c r="F267" s="4"/>
      <c r="G267" s="4"/>
      <c r="H267" s="4"/>
      <c r="I267" s="4"/>
      <c r="J267" s="3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>
      <c r="A268" s="1"/>
      <c r="B268" s="3"/>
      <c r="C268" s="4"/>
      <c r="D268" s="3"/>
      <c r="E268" s="4"/>
      <c r="F268" s="4"/>
      <c r="G268" s="4"/>
      <c r="H268" s="4"/>
      <c r="I268" s="4"/>
      <c r="J268" s="3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>
      <c r="A269" s="1"/>
      <c r="B269" s="3"/>
      <c r="C269" s="4"/>
      <c r="D269" s="3"/>
      <c r="E269" s="4"/>
      <c r="F269" s="4"/>
      <c r="G269" s="4"/>
      <c r="H269" s="4"/>
      <c r="I269" s="4"/>
      <c r="J269" s="3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>
      <c r="A270" s="1"/>
      <c r="B270" s="3"/>
      <c r="C270" s="4"/>
      <c r="D270" s="3"/>
      <c r="E270" s="4"/>
      <c r="F270" s="4"/>
      <c r="G270" s="4"/>
      <c r="H270" s="4"/>
      <c r="I270" s="4"/>
      <c r="J270" s="3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</sheetData>
  <mergeCells count="14">
    <mergeCell ref="A59:C59"/>
    <mergeCell ref="D62:E62"/>
    <mergeCell ref="G62:H62"/>
    <mergeCell ref="A3:K3"/>
    <mergeCell ref="A4:K4"/>
    <mergeCell ref="K6:K22"/>
    <mergeCell ref="A22:C22"/>
    <mergeCell ref="A26:F26"/>
    <mergeCell ref="A27:F27"/>
    <mergeCell ref="A41:C41"/>
    <mergeCell ref="A44:L44"/>
    <mergeCell ref="A45:L45"/>
    <mergeCell ref="K47:K49"/>
    <mergeCell ref="K50:K58"/>
  </mergeCells>
  <pageMargins left="0.511811024" right="0.511811024" top="0.78740157499999996" bottom="0.78740157499999996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99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K15" sqref="K15"/>
    </sheetView>
  </sheetViews>
  <sheetFormatPr defaultColWidth="14.42578125" defaultRowHeight="15" customHeight="1"/>
  <cols>
    <col min="1" max="1" width="5.85546875" customWidth="1"/>
    <col min="2" max="2" width="26.5703125" bestFit="1" customWidth="1"/>
    <col min="3" max="3" width="22.140625" bestFit="1" customWidth="1"/>
    <col min="4" max="4" width="8.28515625" bestFit="1" customWidth="1"/>
    <col min="5" max="7" width="14.42578125" bestFit="1" customWidth="1"/>
    <col min="8" max="8" width="11.7109375" bestFit="1" customWidth="1"/>
    <col min="9" max="10" width="10.7109375" bestFit="1" customWidth="1"/>
    <col min="11" max="13" width="13.28515625" customWidth="1"/>
    <col min="14" max="14" width="12.140625" bestFit="1" customWidth="1"/>
    <col min="15" max="15" width="13.28515625" bestFit="1" customWidth="1"/>
    <col min="16" max="16" width="10.7109375" bestFit="1" customWidth="1"/>
    <col min="17" max="17" width="14.28515625" customWidth="1"/>
    <col min="18" max="18" width="14.28515625" bestFit="1" customWidth="1"/>
    <col min="19" max="23" width="8.7109375" customWidth="1"/>
  </cols>
  <sheetData>
    <row r="1" spans="1:2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5"/>
      <c r="S1" s="2"/>
      <c r="T1" s="2"/>
      <c r="U1" s="2"/>
      <c r="V1" s="2"/>
      <c r="W1" s="2"/>
    </row>
    <row r="2" spans="1:23" ht="24" customHeight="1">
      <c r="A2" s="341" t="s">
        <v>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2"/>
      <c r="T2" s="2"/>
      <c r="U2" s="2"/>
      <c r="V2" s="2"/>
      <c r="W2" s="2"/>
    </row>
    <row r="3" spans="1:23">
      <c r="A3" s="337" t="s">
        <v>4</v>
      </c>
      <c r="B3" s="337" t="s">
        <v>5</v>
      </c>
      <c r="C3" s="337" t="s">
        <v>6</v>
      </c>
      <c r="D3" s="337" t="s">
        <v>7</v>
      </c>
      <c r="E3" s="337" t="s">
        <v>9</v>
      </c>
      <c r="F3" s="337" t="s">
        <v>10</v>
      </c>
      <c r="G3" s="337" t="s">
        <v>11</v>
      </c>
      <c r="H3" s="18">
        <v>46174</v>
      </c>
      <c r="I3" s="18">
        <v>46204</v>
      </c>
      <c r="J3" s="18">
        <v>46235</v>
      </c>
      <c r="K3" s="19">
        <v>46266</v>
      </c>
      <c r="L3" s="19">
        <v>46296</v>
      </c>
      <c r="M3" s="19">
        <v>46327</v>
      </c>
      <c r="N3" s="19">
        <v>46357</v>
      </c>
      <c r="O3" s="18">
        <v>46388</v>
      </c>
      <c r="P3" s="18">
        <v>46419</v>
      </c>
      <c r="Q3" s="337" t="s">
        <v>15</v>
      </c>
      <c r="R3" s="337" t="s">
        <v>17</v>
      </c>
      <c r="S3" s="5"/>
      <c r="T3" s="5"/>
      <c r="U3" s="5"/>
      <c r="V3" s="5"/>
      <c r="W3" s="5"/>
    </row>
    <row r="4" spans="1:23">
      <c r="A4" s="332"/>
      <c r="B4" s="332"/>
      <c r="C4" s="332"/>
      <c r="D4" s="332"/>
      <c r="E4" s="332"/>
      <c r="F4" s="332"/>
      <c r="G4" s="332"/>
      <c r="H4" s="16" t="s">
        <v>134</v>
      </c>
      <c r="I4" s="16" t="s">
        <v>135</v>
      </c>
      <c r="J4" s="16" t="s">
        <v>136</v>
      </c>
      <c r="K4" s="16" t="s">
        <v>137</v>
      </c>
      <c r="L4" s="16" t="s">
        <v>138</v>
      </c>
      <c r="M4" s="16" t="s">
        <v>139</v>
      </c>
      <c r="N4" s="16" t="s">
        <v>140</v>
      </c>
      <c r="O4" s="16" t="s">
        <v>141</v>
      </c>
      <c r="P4" s="16" t="s">
        <v>142</v>
      </c>
      <c r="Q4" s="332"/>
      <c r="R4" s="332"/>
      <c r="S4" s="2"/>
      <c r="T4" s="2"/>
      <c r="U4" s="2"/>
      <c r="V4" s="2"/>
      <c r="W4" s="2"/>
    </row>
    <row r="5" spans="1:23">
      <c r="A5" s="4"/>
      <c r="B5" s="2"/>
      <c r="C5" s="4"/>
      <c r="D5" s="4"/>
      <c r="E5" s="4"/>
      <c r="F5" s="4"/>
      <c r="G5" s="4"/>
      <c r="H5" s="354" t="s">
        <v>39</v>
      </c>
      <c r="I5" s="355"/>
      <c r="J5" s="355"/>
      <c r="K5" s="355"/>
      <c r="L5" s="355"/>
      <c r="M5" s="355"/>
      <c r="N5" s="355"/>
      <c r="O5" s="355"/>
      <c r="P5" s="355"/>
      <c r="Q5" s="4"/>
      <c r="R5" s="3"/>
      <c r="S5" s="2"/>
      <c r="T5" s="2"/>
      <c r="U5" s="2"/>
      <c r="V5" s="2"/>
      <c r="W5" s="2"/>
    </row>
    <row r="6" spans="1:23" ht="15.75">
      <c r="A6" s="338" t="s">
        <v>41</v>
      </c>
      <c r="B6" s="312"/>
      <c r="C6" s="312"/>
      <c r="D6" s="312"/>
      <c r="E6" s="312"/>
      <c r="F6" s="312"/>
      <c r="G6" s="312"/>
      <c r="H6" s="44"/>
      <c r="I6" s="45"/>
      <c r="J6" s="48"/>
      <c r="K6" s="50"/>
      <c r="L6" s="50"/>
      <c r="M6" s="50"/>
      <c r="N6" s="50"/>
      <c r="O6" s="52"/>
      <c r="P6" s="57"/>
      <c r="Q6" s="64"/>
      <c r="R6" s="66"/>
      <c r="S6" s="2"/>
      <c r="T6" s="2"/>
      <c r="U6" s="2"/>
      <c r="V6" s="2"/>
      <c r="W6" s="2"/>
    </row>
    <row r="7" spans="1:23">
      <c r="A7" s="82">
        <v>1</v>
      </c>
      <c r="B7" s="83"/>
      <c r="C7" s="84"/>
      <c r="D7" s="89"/>
      <c r="E7" s="93"/>
      <c r="F7" s="96">
        <f t="shared" ref="F7:F17" si="0">E7*D7</f>
        <v>0</v>
      </c>
      <c r="G7" s="99"/>
      <c r="H7" s="93"/>
      <c r="I7" s="93"/>
      <c r="J7" s="102"/>
      <c r="K7" s="93"/>
      <c r="L7" s="93"/>
      <c r="M7" s="105"/>
      <c r="N7" s="93"/>
      <c r="O7" s="106"/>
      <c r="P7" s="107"/>
      <c r="Q7" s="108">
        <f>SUM(H7:P7)</f>
        <v>0</v>
      </c>
      <c r="R7" s="109">
        <f>F7-Q7</f>
        <v>0</v>
      </c>
      <c r="S7" s="2"/>
      <c r="T7" s="2"/>
      <c r="U7" s="2"/>
      <c r="V7" s="2"/>
      <c r="W7" s="2"/>
    </row>
    <row r="8" spans="1:23">
      <c r="A8" s="110">
        <f t="shared" ref="A8:A17" si="1">A7+1</f>
        <v>2</v>
      </c>
      <c r="B8" s="83"/>
      <c r="C8" s="84"/>
      <c r="D8" s="89"/>
      <c r="E8" s="111"/>
      <c r="F8" s="112">
        <f t="shared" si="0"/>
        <v>0</v>
      </c>
      <c r="G8" s="99"/>
      <c r="H8" s="111"/>
      <c r="I8" s="111"/>
      <c r="J8" s="102"/>
      <c r="K8" s="111"/>
      <c r="L8" s="111"/>
      <c r="M8" s="111"/>
      <c r="N8" s="102"/>
      <c r="O8" s="111"/>
      <c r="P8" s="113"/>
      <c r="Q8" s="108">
        <f>SUM(H8:P8)</f>
        <v>0</v>
      </c>
      <c r="R8" s="109">
        <f>F8-Q8</f>
        <v>0</v>
      </c>
      <c r="S8" s="2"/>
      <c r="T8" s="2"/>
      <c r="U8" s="2"/>
      <c r="V8" s="2"/>
      <c r="W8" s="2"/>
    </row>
    <row r="9" spans="1:23">
      <c r="A9" s="110">
        <f t="shared" si="1"/>
        <v>3</v>
      </c>
      <c r="B9" s="83"/>
      <c r="C9" s="114"/>
      <c r="D9" s="89"/>
      <c r="E9" s="111"/>
      <c r="F9" s="112">
        <f t="shared" si="0"/>
        <v>0</v>
      </c>
      <c r="G9" s="115"/>
      <c r="H9" s="111"/>
      <c r="I9" s="111"/>
      <c r="J9" s="102"/>
      <c r="K9" s="111"/>
      <c r="L9" s="111"/>
      <c r="M9" s="111"/>
      <c r="N9" s="102"/>
      <c r="O9" s="111"/>
      <c r="P9" s="113"/>
      <c r="Q9" s="108">
        <f>SUM(H9:P9)</f>
        <v>0</v>
      </c>
      <c r="R9" s="109">
        <f>F9-Q9</f>
        <v>0</v>
      </c>
      <c r="S9" s="2"/>
      <c r="T9" s="2"/>
      <c r="U9" s="2"/>
      <c r="V9" s="2"/>
      <c r="W9" s="2"/>
    </row>
    <row r="10" spans="1:23">
      <c r="A10" s="110">
        <f t="shared" si="1"/>
        <v>4</v>
      </c>
      <c r="B10" s="83"/>
      <c r="C10" s="116"/>
      <c r="D10" s="89"/>
      <c r="E10" s="111"/>
      <c r="F10" s="112">
        <f t="shared" si="0"/>
        <v>0</v>
      </c>
      <c r="G10" s="115"/>
      <c r="H10" s="111"/>
      <c r="I10" s="111"/>
      <c r="J10" s="102"/>
      <c r="K10" s="111"/>
      <c r="L10" s="111"/>
      <c r="M10" s="111"/>
      <c r="N10" s="102"/>
      <c r="O10" s="111"/>
      <c r="P10" s="117"/>
      <c r="Q10" s="108">
        <f>SUM(H10:P10)</f>
        <v>0</v>
      </c>
      <c r="R10" s="109">
        <f>F10-Q10</f>
        <v>0</v>
      </c>
      <c r="S10" s="2"/>
      <c r="T10" s="2"/>
      <c r="U10" s="2"/>
      <c r="V10" s="2"/>
      <c r="W10" s="2"/>
    </row>
    <row r="11" spans="1:23">
      <c r="A11" s="110">
        <f t="shared" si="1"/>
        <v>5</v>
      </c>
      <c r="B11" s="83"/>
      <c r="C11" s="116"/>
      <c r="D11" s="89"/>
      <c r="E11" s="111"/>
      <c r="F11" s="112">
        <f t="shared" si="0"/>
        <v>0</v>
      </c>
      <c r="G11" s="115"/>
      <c r="H11" s="111"/>
      <c r="I11" s="111"/>
      <c r="J11" s="102"/>
      <c r="K11" s="111"/>
      <c r="L11" s="111"/>
      <c r="M11" s="111"/>
      <c r="N11" s="102"/>
      <c r="O11" s="111"/>
      <c r="P11" s="117"/>
      <c r="Q11" s="108">
        <f>SUM(H11:P11)</f>
        <v>0</v>
      </c>
      <c r="R11" s="109">
        <f>F11-Q11</f>
        <v>0</v>
      </c>
      <c r="S11" s="2"/>
      <c r="T11" s="2"/>
      <c r="U11" s="2"/>
      <c r="V11" s="2"/>
      <c r="W11" s="2"/>
    </row>
    <row r="12" spans="1:23">
      <c r="A12" s="110">
        <f t="shared" si="1"/>
        <v>6</v>
      </c>
      <c r="B12" s="83"/>
      <c r="C12" s="116"/>
      <c r="D12" s="89"/>
      <c r="E12" s="111"/>
      <c r="F12" s="112">
        <f t="shared" si="0"/>
        <v>0</v>
      </c>
      <c r="G12" s="115"/>
      <c r="H12" s="111"/>
      <c r="I12" s="111"/>
      <c r="J12" s="118"/>
      <c r="K12" s="111"/>
      <c r="L12" s="111"/>
      <c r="M12" s="111"/>
      <c r="N12" s="102"/>
      <c r="O12" s="111"/>
      <c r="P12" s="117"/>
      <c r="Q12" s="108">
        <f>SUM(H12:P12)</f>
        <v>0</v>
      </c>
      <c r="R12" s="109">
        <f>F12-Q12</f>
        <v>0</v>
      </c>
      <c r="S12" s="2"/>
      <c r="T12" s="2"/>
      <c r="U12" s="2"/>
      <c r="V12" s="2"/>
      <c r="W12" s="2"/>
    </row>
    <row r="13" spans="1:23">
      <c r="A13" s="110">
        <f t="shared" si="1"/>
        <v>7</v>
      </c>
      <c r="B13" s="83"/>
      <c r="C13" s="116"/>
      <c r="D13" s="89"/>
      <c r="E13" s="118"/>
      <c r="F13" s="112">
        <f t="shared" si="0"/>
        <v>0</v>
      </c>
      <c r="G13" s="115"/>
      <c r="H13" s="118"/>
      <c r="I13" s="118"/>
      <c r="J13" s="120"/>
      <c r="K13" s="118"/>
      <c r="L13" s="118"/>
      <c r="M13" s="118"/>
      <c r="N13" s="102"/>
      <c r="O13" s="118"/>
      <c r="P13" s="117"/>
      <c r="Q13" s="108">
        <f>SUM(H13:P13)</f>
        <v>0</v>
      </c>
      <c r="R13" s="109">
        <f>F13-Q13</f>
        <v>0</v>
      </c>
      <c r="S13" s="2"/>
      <c r="T13" s="2"/>
      <c r="U13" s="2"/>
      <c r="V13" s="2"/>
      <c r="W13" s="2"/>
    </row>
    <row r="14" spans="1:23">
      <c r="A14" s="110">
        <f t="shared" si="1"/>
        <v>8</v>
      </c>
      <c r="B14" s="83"/>
      <c r="C14" s="116"/>
      <c r="D14" s="89"/>
      <c r="E14" s="118"/>
      <c r="F14" s="112">
        <f t="shared" si="0"/>
        <v>0</v>
      </c>
      <c r="G14" s="115"/>
      <c r="H14" s="118"/>
      <c r="I14" s="118"/>
      <c r="J14" s="120"/>
      <c r="K14" s="118"/>
      <c r="L14" s="118"/>
      <c r="M14" s="118"/>
      <c r="N14" s="102"/>
      <c r="O14" s="118"/>
      <c r="P14" s="117"/>
      <c r="Q14" s="108">
        <f>SUM(H14:P14)</f>
        <v>0</v>
      </c>
      <c r="R14" s="109">
        <f>F14-Q14</f>
        <v>0</v>
      </c>
      <c r="S14" s="2"/>
      <c r="T14" s="2"/>
      <c r="U14" s="2"/>
      <c r="V14" s="2"/>
      <c r="W14" s="2"/>
    </row>
    <row r="15" spans="1:23">
      <c r="A15" s="110">
        <f t="shared" si="1"/>
        <v>9</v>
      </c>
      <c r="B15" s="83"/>
      <c r="C15" s="116"/>
      <c r="D15" s="89"/>
      <c r="E15" s="111"/>
      <c r="F15" s="112">
        <f t="shared" si="0"/>
        <v>0</v>
      </c>
      <c r="G15" s="115"/>
      <c r="H15" s="111"/>
      <c r="I15" s="111"/>
      <c r="J15" s="120"/>
      <c r="K15" s="111"/>
      <c r="L15" s="111"/>
      <c r="M15" s="111"/>
      <c r="N15" s="102"/>
      <c r="O15" s="111"/>
      <c r="P15" s="117"/>
      <c r="Q15" s="108">
        <f>SUM(H15:P15)</f>
        <v>0</v>
      </c>
      <c r="R15" s="109">
        <f>F15-Q15</f>
        <v>0</v>
      </c>
      <c r="S15" s="2"/>
      <c r="T15" s="2"/>
      <c r="U15" s="2"/>
      <c r="V15" s="2"/>
      <c r="W15" s="2"/>
    </row>
    <row r="16" spans="1:23">
      <c r="A16" s="110">
        <f t="shared" si="1"/>
        <v>10</v>
      </c>
      <c r="B16" s="83"/>
      <c r="C16" s="116"/>
      <c r="D16" s="89"/>
      <c r="E16" s="111"/>
      <c r="F16" s="112">
        <f t="shared" si="0"/>
        <v>0</v>
      </c>
      <c r="G16" s="115"/>
      <c r="H16" s="111"/>
      <c r="I16" s="111"/>
      <c r="J16" s="120"/>
      <c r="K16" s="111"/>
      <c r="L16" s="111"/>
      <c r="M16" s="111"/>
      <c r="N16" s="102"/>
      <c r="O16" s="111"/>
      <c r="P16" s="117"/>
      <c r="Q16" s="108">
        <f>SUM(H16:P16)</f>
        <v>0</v>
      </c>
      <c r="R16" s="109">
        <f>F16-Q16</f>
        <v>0</v>
      </c>
      <c r="S16" s="2"/>
      <c r="T16" s="2"/>
      <c r="U16" s="2"/>
      <c r="V16" s="2"/>
      <c r="W16" s="2"/>
    </row>
    <row r="17" spans="1:23">
      <c r="A17" s="110">
        <f t="shared" si="1"/>
        <v>11</v>
      </c>
      <c r="B17" s="83"/>
      <c r="C17" s="116"/>
      <c r="D17" s="89"/>
      <c r="E17" s="118"/>
      <c r="F17" s="112">
        <f t="shared" si="0"/>
        <v>0</v>
      </c>
      <c r="G17" s="115"/>
      <c r="H17" s="118"/>
      <c r="I17" s="118"/>
      <c r="J17" s="120"/>
      <c r="K17" s="118"/>
      <c r="L17" s="118"/>
      <c r="M17" s="118"/>
      <c r="N17" s="102"/>
      <c r="O17" s="118"/>
      <c r="P17" s="117"/>
      <c r="Q17" s="108">
        <f>SUM(H17:P17)</f>
        <v>0</v>
      </c>
      <c r="R17" s="109">
        <f>F17-Q17</f>
        <v>0</v>
      </c>
      <c r="S17" s="2"/>
      <c r="T17" s="2"/>
      <c r="U17" s="2"/>
      <c r="V17" s="2"/>
      <c r="W17" s="2"/>
    </row>
    <row r="18" spans="1:23">
      <c r="A18" s="110">
        <v>12</v>
      </c>
      <c r="B18" s="83"/>
      <c r="C18" s="114"/>
      <c r="D18" s="89"/>
      <c r="E18" s="118"/>
      <c r="F18" s="112">
        <f t="shared" ref="F18:F21" si="2">D18*E18</f>
        <v>0</v>
      </c>
      <c r="G18" s="115"/>
      <c r="H18" s="112"/>
      <c r="I18" s="118"/>
      <c r="J18" s="120"/>
      <c r="K18" s="118"/>
      <c r="L18" s="118"/>
      <c r="M18" s="118"/>
      <c r="N18" s="102"/>
      <c r="O18" s="118"/>
      <c r="P18" s="117"/>
      <c r="Q18" s="108">
        <f>SUM(H18:P18)</f>
        <v>0</v>
      </c>
      <c r="R18" s="109">
        <f>F18-Q18</f>
        <v>0</v>
      </c>
      <c r="S18" s="2"/>
      <c r="T18" s="2"/>
      <c r="U18" s="2"/>
      <c r="V18" s="2"/>
      <c r="W18" s="2"/>
    </row>
    <row r="19" spans="1:23">
      <c r="A19" s="129">
        <v>13</v>
      </c>
      <c r="B19" s="83"/>
      <c r="C19" s="114"/>
      <c r="D19" s="84"/>
      <c r="E19" s="118"/>
      <c r="F19" s="112">
        <f t="shared" si="2"/>
        <v>0</v>
      </c>
      <c r="G19" s="84"/>
      <c r="H19" s="112"/>
      <c r="I19" s="118"/>
      <c r="J19" s="130"/>
      <c r="K19" s="118"/>
      <c r="L19" s="118"/>
      <c r="M19" s="118"/>
      <c r="N19" s="102"/>
      <c r="O19" s="118"/>
      <c r="P19" s="117"/>
      <c r="Q19" s="108">
        <f>SUM(H19:P19)</f>
        <v>0</v>
      </c>
      <c r="R19" s="109">
        <f>F19-Q19</f>
        <v>0</v>
      </c>
      <c r="S19" s="2"/>
      <c r="T19" s="2"/>
      <c r="U19" s="2"/>
      <c r="V19" s="2"/>
      <c r="W19" s="2"/>
    </row>
    <row r="20" spans="1:23">
      <c r="A20" s="110">
        <v>14</v>
      </c>
      <c r="B20" s="83"/>
      <c r="C20" s="114"/>
      <c r="D20" s="84"/>
      <c r="E20" s="118"/>
      <c r="F20" s="112">
        <f t="shared" si="2"/>
        <v>0</v>
      </c>
      <c r="G20" s="84"/>
      <c r="H20" s="112"/>
      <c r="I20" s="118"/>
      <c r="J20" s="130"/>
      <c r="K20" s="118"/>
      <c r="L20" s="118"/>
      <c r="M20" s="118"/>
      <c r="N20" s="102"/>
      <c r="O20" s="118"/>
      <c r="P20" s="117"/>
      <c r="Q20" s="108">
        <f>SUM(H20:P20)</f>
        <v>0</v>
      </c>
      <c r="R20" s="109">
        <f>F20-Q20</f>
        <v>0</v>
      </c>
      <c r="S20" s="2"/>
      <c r="T20" s="2"/>
      <c r="U20" s="2"/>
      <c r="V20" s="2"/>
      <c r="W20" s="2"/>
    </row>
    <row r="21" spans="1:23" ht="15.75" customHeight="1">
      <c r="A21" s="129">
        <v>15</v>
      </c>
      <c r="B21" s="83"/>
      <c r="C21" s="132"/>
      <c r="D21" s="84"/>
      <c r="E21" s="118"/>
      <c r="F21" s="112">
        <f t="shared" si="2"/>
        <v>0</v>
      </c>
      <c r="G21" s="84"/>
      <c r="H21" s="112"/>
      <c r="I21" s="118"/>
      <c r="J21" s="130"/>
      <c r="K21" s="118"/>
      <c r="L21" s="118"/>
      <c r="M21" s="118"/>
      <c r="N21" s="102"/>
      <c r="O21" s="118"/>
      <c r="P21" s="117"/>
      <c r="Q21" s="108">
        <f>SUM(H21:P21)</f>
        <v>0</v>
      </c>
      <c r="R21" s="109">
        <f>F21-Q21</f>
        <v>0</v>
      </c>
      <c r="S21" s="2"/>
      <c r="T21" s="2"/>
      <c r="U21" s="2"/>
      <c r="V21" s="2"/>
      <c r="W21" s="2"/>
    </row>
    <row r="22" spans="1:23" ht="15.75" customHeight="1">
      <c r="A22" s="339" t="s">
        <v>60</v>
      </c>
      <c r="B22" s="340"/>
      <c r="C22" s="340"/>
      <c r="D22" s="340"/>
      <c r="E22" s="133">
        <f t="shared" ref="E22:F22" si="3">SUM(E7:E21)</f>
        <v>0</v>
      </c>
      <c r="F22" s="133">
        <f t="shared" si="3"/>
        <v>0</v>
      </c>
      <c r="G22" s="134"/>
      <c r="H22" s="136">
        <f t="shared" ref="H22:R22" si="4">SUM(H7:H21)</f>
        <v>0</v>
      </c>
      <c r="I22" s="136">
        <f t="shared" si="4"/>
        <v>0</v>
      </c>
      <c r="J22" s="136">
        <f t="shared" si="4"/>
        <v>0</v>
      </c>
      <c r="K22" s="136">
        <f t="shared" si="4"/>
        <v>0</v>
      </c>
      <c r="L22" s="136">
        <f t="shared" si="4"/>
        <v>0</v>
      </c>
      <c r="M22" s="136">
        <f t="shared" si="4"/>
        <v>0</v>
      </c>
      <c r="N22" s="136">
        <f t="shared" si="4"/>
        <v>0</v>
      </c>
      <c r="O22" s="136">
        <f t="shared" si="4"/>
        <v>0</v>
      </c>
      <c r="P22" s="136">
        <f t="shared" si="4"/>
        <v>0</v>
      </c>
      <c r="Q22" s="133">
        <f t="shared" si="4"/>
        <v>0</v>
      </c>
      <c r="R22" s="143">
        <f t="shared" si="4"/>
        <v>0</v>
      </c>
      <c r="S22" s="2"/>
      <c r="T22" s="2"/>
      <c r="U22" s="2"/>
      <c r="V22" s="2"/>
      <c r="W22" s="2"/>
    </row>
    <row r="23" spans="1:23" ht="15.75" customHeight="1">
      <c r="A23" s="2"/>
      <c r="B23" s="2"/>
      <c r="C23" s="2"/>
      <c r="D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5"/>
      <c r="S23" s="2"/>
      <c r="T23" s="2"/>
      <c r="U23" s="2"/>
      <c r="V23" s="2"/>
      <c r="W23" s="2"/>
    </row>
    <row r="24" spans="1:2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5"/>
      <c r="S24" s="2"/>
      <c r="T24" s="2"/>
      <c r="U24" s="2"/>
      <c r="V24" s="2"/>
      <c r="W24" s="2"/>
    </row>
    <row r="25" spans="1:23" ht="15.75" customHeight="1">
      <c r="A25" s="338" t="s">
        <v>65</v>
      </c>
      <c r="B25" s="312"/>
      <c r="C25" s="312"/>
      <c r="D25" s="312"/>
      <c r="E25" s="312"/>
      <c r="F25" s="312"/>
      <c r="G25" s="312"/>
      <c r="H25" s="57"/>
      <c r="I25" s="57"/>
      <c r="J25" s="57"/>
      <c r="K25" s="57"/>
      <c r="L25" s="57"/>
      <c r="M25" s="57"/>
      <c r="N25" s="57"/>
      <c r="O25" s="57"/>
      <c r="P25" s="57"/>
      <c r="Q25" s="64"/>
      <c r="R25" s="66"/>
      <c r="S25" s="2"/>
      <c r="T25" s="2"/>
      <c r="U25" s="2"/>
      <c r="V25" s="2"/>
      <c r="W25" s="2"/>
    </row>
    <row r="26" spans="1:23" ht="15.75" customHeight="1">
      <c r="A26" s="82">
        <v>1</v>
      </c>
      <c r="B26" s="398" t="s">
        <v>146</v>
      </c>
      <c r="C26" s="399" t="s">
        <v>147</v>
      </c>
      <c r="D26" s="89">
        <v>8</v>
      </c>
      <c r="E26" s="150">
        <v>2800</v>
      </c>
      <c r="F26" s="150">
        <f t="shared" ref="F26:F27" si="5">E26*D26</f>
        <v>22400</v>
      </c>
      <c r="G26" s="89"/>
      <c r="H26" s="150"/>
      <c r="I26" s="150"/>
      <c r="J26" s="153"/>
      <c r="K26" s="150"/>
      <c r="L26" s="150"/>
      <c r="M26" s="150"/>
      <c r="N26" s="105"/>
      <c r="O26" s="150"/>
      <c r="P26" s="155"/>
      <c r="Q26" s="108">
        <f>SUM(H26:P26)</f>
        <v>0</v>
      </c>
      <c r="R26" s="159">
        <f>F26-Q26</f>
        <v>22400</v>
      </c>
      <c r="S26" s="2"/>
      <c r="T26" s="2"/>
      <c r="U26" s="2"/>
      <c r="V26" s="2"/>
      <c r="W26" s="2"/>
    </row>
    <row r="27" spans="1:23" ht="15.75" customHeight="1">
      <c r="A27" s="110">
        <f>A26+1</f>
        <v>2</v>
      </c>
      <c r="B27" s="110"/>
      <c r="C27" s="110"/>
      <c r="D27" s="84"/>
      <c r="E27" s="118"/>
      <c r="F27" s="118">
        <f t="shared" si="5"/>
        <v>0</v>
      </c>
      <c r="G27" s="84"/>
      <c r="H27" s="118"/>
      <c r="I27" s="118"/>
      <c r="J27" s="130"/>
      <c r="K27" s="118"/>
      <c r="L27" s="118"/>
      <c r="M27" s="118"/>
      <c r="N27" s="161"/>
      <c r="O27" s="118"/>
      <c r="P27" s="117"/>
      <c r="Q27" s="108">
        <f>SUM(H27:P27)</f>
        <v>0</v>
      </c>
      <c r="R27" s="159">
        <f>F27-Q27</f>
        <v>0</v>
      </c>
      <c r="S27" s="2"/>
      <c r="T27" s="2"/>
      <c r="U27" s="2"/>
      <c r="V27" s="2"/>
      <c r="W27" s="2"/>
    </row>
    <row r="28" spans="1:23" ht="15.75" customHeight="1">
      <c r="A28" s="339" t="s">
        <v>60</v>
      </c>
      <c r="B28" s="340"/>
      <c r="C28" s="340"/>
      <c r="D28" s="340"/>
      <c r="E28" s="164">
        <f t="shared" ref="E28:F28" si="6">SUM(E26:E27)</f>
        <v>2800</v>
      </c>
      <c r="F28" s="164">
        <f t="shared" si="6"/>
        <v>22400</v>
      </c>
      <c r="G28" s="166"/>
      <c r="H28" s="168">
        <f t="shared" ref="H28:L28" si="7">SUM(H26:H27)</f>
        <v>0</v>
      </c>
      <c r="I28" s="168">
        <f t="shared" si="7"/>
        <v>0</v>
      </c>
      <c r="J28" s="164">
        <f t="shared" si="7"/>
        <v>0</v>
      </c>
      <c r="K28" s="168">
        <f t="shared" si="7"/>
        <v>0</v>
      </c>
      <c r="L28" s="168">
        <f t="shared" si="7"/>
        <v>0</v>
      </c>
      <c r="M28" s="164"/>
      <c r="N28" s="164">
        <f t="shared" ref="N28:R28" si="8">SUM(N26:N27)</f>
        <v>0</v>
      </c>
      <c r="O28" s="164">
        <f t="shared" si="8"/>
        <v>0</v>
      </c>
      <c r="P28" s="164">
        <f t="shared" si="8"/>
        <v>0</v>
      </c>
      <c r="Q28" s="164">
        <f t="shared" si="8"/>
        <v>0</v>
      </c>
      <c r="R28" s="171">
        <f t="shared" si="8"/>
        <v>22400</v>
      </c>
      <c r="S28" s="2"/>
      <c r="T28" s="2"/>
      <c r="U28" s="2"/>
      <c r="V28" s="2"/>
      <c r="W28" s="2"/>
    </row>
    <row r="29" spans="1:23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5"/>
      <c r="S29" s="2"/>
      <c r="T29" s="2"/>
      <c r="U29" s="2"/>
      <c r="V29" s="2"/>
      <c r="W29" s="2"/>
    </row>
    <row r="30" spans="1:23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5"/>
      <c r="S30" s="2"/>
      <c r="T30" s="2"/>
      <c r="U30" s="2"/>
      <c r="V30" s="2"/>
      <c r="W30" s="2"/>
    </row>
    <row r="31" spans="1:23" ht="15.75" customHeight="1">
      <c r="A31" s="2"/>
      <c r="B31" s="2"/>
      <c r="C31" s="2"/>
      <c r="D31" s="5"/>
      <c r="E31" s="174"/>
      <c r="F31" s="2"/>
      <c r="G31" s="2"/>
      <c r="H31" s="2"/>
      <c r="I31" s="175"/>
      <c r="J31" s="175"/>
      <c r="K31" s="2"/>
      <c r="L31" s="2"/>
      <c r="M31" s="2"/>
      <c r="N31" s="2"/>
      <c r="O31" s="2"/>
      <c r="P31" s="2"/>
      <c r="Q31" s="2"/>
      <c r="R31" s="5"/>
      <c r="S31" s="2"/>
      <c r="T31" s="2"/>
      <c r="U31" s="2"/>
      <c r="V31" s="2"/>
      <c r="W31" s="2"/>
    </row>
    <row r="32" spans="1:23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5"/>
      <c r="S32" s="2"/>
      <c r="T32" s="2"/>
      <c r="U32" s="2"/>
      <c r="V32" s="2"/>
      <c r="W32" s="2"/>
    </row>
    <row r="33" spans="1:23" ht="15.75" customHeight="1">
      <c r="A33" s="2"/>
      <c r="B33" s="2"/>
      <c r="C33" s="2"/>
      <c r="D33" s="2"/>
      <c r="E33" s="2"/>
      <c r="F33" s="17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5"/>
      <c r="S33" s="2"/>
      <c r="T33" s="2"/>
      <c r="U33" s="2"/>
      <c r="V33" s="2"/>
      <c r="W33" s="2"/>
    </row>
    <row r="34" spans="1:23" ht="15.75" customHeight="1">
      <c r="A34" s="2"/>
      <c r="B34" s="2"/>
      <c r="C34" s="2"/>
      <c r="D34" s="2"/>
      <c r="E34" s="2"/>
      <c r="F34" s="174"/>
      <c r="G34" s="174"/>
      <c r="H34" s="2"/>
      <c r="I34" s="2"/>
      <c r="J34" s="174"/>
      <c r="K34" s="2"/>
      <c r="L34" s="2"/>
      <c r="M34" s="2"/>
      <c r="N34" s="2"/>
      <c r="O34" s="2"/>
      <c r="P34" s="2"/>
      <c r="Q34" s="2"/>
      <c r="R34" s="5"/>
      <c r="S34" s="2"/>
      <c r="T34" s="2"/>
      <c r="U34" s="2"/>
      <c r="V34" s="2"/>
      <c r="W34" s="2"/>
    </row>
    <row r="35" spans="1:23" ht="15.75" customHeight="1">
      <c r="A35" s="2"/>
      <c r="B35" s="2"/>
      <c r="C35" s="2"/>
      <c r="D35" s="2"/>
      <c r="E35" s="2"/>
      <c r="F35" s="17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5"/>
      <c r="S35" s="2"/>
      <c r="T35" s="2"/>
      <c r="U35" s="2"/>
      <c r="V35" s="2"/>
      <c r="W35" s="2"/>
    </row>
    <row r="36" spans="1:23" ht="15.75" customHeight="1">
      <c r="A36" s="2"/>
      <c r="B36" s="2"/>
      <c r="C36" s="2"/>
      <c r="D36" s="2"/>
      <c r="E36" s="2"/>
      <c r="F36" s="2"/>
      <c r="G36" s="2"/>
      <c r="H36" s="2"/>
      <c r="I36" s="2"/>
      <c r="J36" s="174"/>
      <c r="K36" s="2"/>
      <c r="L36" s="2"/>
      <c r="M36" s="2"/>
      <c r="N36" s="2"/>
      <c r="O36" s="2"/>
      <c r="P36" s="2"/>
      <c r="Q36" s="2"/>
      <c r="R36" s="5"/>
      <c r="S36" s="2"/>
      <c r="T36" s="2"/>
      <c r="U36" s="2"/>
      <c r="V36" s="2"/>
      <c r="W36" s="2"/>
    </row>
    <row r="37" spans="1:23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5"/>
      <c r="S37" s="2"/>
      <c r="T37" s="2"/>
      <c r="U37" s="2"/>
      <c r="V37" s="2"/>
      <c r="W37" s="2"/>
    </row>
    <row r="38" spans="1:23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5"/>
      <c r="S38" s="2"/>
      <c r="T38" s="2"/>
      <c r="U38" s="2"/>
      <c r="V38" s="2"/>
      <c r="W38" s="2"/>
    </row>
    <row r="39" spans="1:23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5"/>
      <c r="S39" s="2"/>
      <c r="T39" s="2"/>
      <c r="U39" s="2"/>
      <c r="V39" s="2"/>
      <c r="W39" s="2"/>
    </row>
    <row r="40" spans="1:23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5"/>
      <c r="S40" s="2"/>
      <c r="T40" s="2"/>
      <c r="U40" s="2"/>
      <c r="V40" s="2"/>
      <c r="W40" s="2"/>
    </row>
    <row r="41" spans="1:23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5"/>
      <c r="S41" s="2"/>
      <c r="T41" s="2"/>
      <c r="U41" s="2"/>
      <c r="V41" s="2"/>
      <c r="W41" s="2"/>
    </row>
    <row r="42" spans="1:23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5"/>
      <c r="S42" s="2"/>
      <c r="T42" s="2"/>
      <c r="U42" s="2"/>
      <c r="V42" s="2"/>
      <c r="W42" s="2"/>
    </row>
    <row r="43" spans="1:2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5"/>
      <c r="S43" s="2"/>
      <c r="T43" s="2"/>
      <c r="U43" s="2"/>
      <c r="V43" s="2"/>
      <c r="W43" s="2"/>
    </row>
    <row r="44" spans="1:23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5"/>
      <c r="S44" s="2"/>
      <c r="T44" s="2"/>
      <c r="U44" s="2"/>
      <c r="V44" s="2"/>
      <c r="W44" s="2"/>
    </row>
    <row r="45" spans="1:23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5"/>
      <c r="S45" s="2"/>
      <c r="T45" s="2"/>
      <c r="U45" s="2"/>
      <c r="V45" s="2"/>
      <c r="W45" s="2"/>
    </row>
    <row r="46" spans="1:23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5"/>
      <c r="S46" s="2"/>
      <c r="T46" s="2"/>
      <c r="U46" s="2"/>
      <c r="V46" s="2"/>
      <c r="W46" s="2"/>
    </row>
    <row r="47" spans="1:23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5"/>
      <c r="S47" s="2"/>
      <c r="T47" s="2"/>
      <c r="U47" s="2"/>
      <c r="V47" s="2"/>
      <c r="W47" s="2"/>
    </row>
    <row r="48" spans="1:23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5"/>
      <c r="S48" s="2"/>
      <c r="T48" s="2"/>
      <c r="U48" s="2"/>
      <c r="V48" s="2"/>
      <c r="W48" s="2"/>
    </row>
    <row r="49" spans="1:23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5"/>
      <c r="S49" s="2"/>
      <c r="T49" s="2"/>
      <c r="U49" s="2"/>
      <c r="V49" s="2"/>
      <c r="W49" s="2"/>
    </row>
    <row r="50" spans="1:23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5"/>
      <c r="S50" s="2"/>
      <c r="T50" s="2"/>
      <c r="U50" s="2"/>
      <c r="V50" s="2"/>
      <c r="W50" s="2"/>
    </row>
    <row r="51" spans="1:23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5"/>
      <c r="S51" s="2"/>
      <c r="T51" s="2"/>
      <c r="U51" s="2"/>
      <c r="V51" s="2"/>
      <c r="W51" s="2"/>
    </row>
    <row r="52" spans="1:23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5"/>
      <c r="S52" s="2"/>
      <c r="T52" s="2"/>
      <c r="U52" s="2"/>
      <c r="V52" s="2"/>
      <c r="W52" s="2"/>
    </row>
    <row r="53" spans="1:2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5"/>
      <c r="S53" s="2"/>
      <c r="T53" s="2"/>
      <c r="U53" s="2"/>
      <c r="V53" s="2"/>
      <c r="W53" s="2"/>
    </row>
    <row r="54" spans="1:23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5"/>
      <c r="S54" s="2"/>
      <c r="T54" s="2"/>
      <c r="U54" s="2"/>
      <c r="V54" s="2"/>
      <c r="W54" s="2"/>
    </row>
    <row r="55" spans="1:23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5"/>
      <c r="S55" s="2"/>
      <c r="T55" s="2"/>
      <c r="U55" s="2"/>
      <c r="V55" s="2"/>
      <c r="W55" s="2"/>
    </row>
    <row r="56" spans="1:23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5"/>
      <c r="S56" s="2"/>
      <c r="T56" s="2"/>
      <c r="U56" s="2"/>
      <c r="V56" s="2"/>
      <c r="W56" s="2"/>
    </row>
    <row r="57" spans="1:23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5"/>
      <c r="S57" s="2"/>
      <c r="T57" s="2"/>
      <c r="U57" s="2"/>
      <c r="V57" s="2"/>
      <c r="W57" s="2"/>
    </row>
    <row r="58" spans="1:23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5"/>
      <c r="S58" s="2"/>
      <c r="T58" s="2"/>
      <c r="U58" s="2"/>
      <c r="V58" s="2"/>
      <c r="W58" s="2"/>
    </row>
    <row r="59" spans="1:23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5"/>
      <c r="S59" s="2"/>
      <c r="T59" s="2"/>
      <c r="U59" s="2"/>
      <c r="V59" s="2"/>
      <c r="W59" s="2"/>
    </row>
    <row r="60" spans="1:23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5"/>
      <c r="S60" s="2"/>
      <c r="T60" s="2"/>
      <c r="U60" s="2"/>
      <c r="V60" s="2"/>
      <c r="W60" s="2"/>
    </row>
    <row r="61" spans="1:23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5"/>
      <c r="S61" s="2"/>
      <c r="T61" s="2"/>
      <c r="U61" s="2"/>
      <c r="V61" s="2"/>
      <c r="W61" s="2"/>
    </row>
    <row r="62" spans="1:23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5"/>
      <c r="S62" s="2"/>
      <c r="T62" s="2"/>
      <c r="U62" s="2"/>
      <c r="V62" s="2"/>
      <c r="W62" s="2"/>
    </row>
    <row r="63" spans="1:2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5"/>
      <c r="S63" s="2"/>
      <c r="T63" s="2"/>
      <c r="U63" s="2"/>
      <c r="V63" s="2"/>
      <c r="W63" s="2"/>
    </row>
    <row r="64" spans="1:23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5"/>
      <c r="S64" s="2"/>
      <c r="T64" s="2"/>
      <c r="U64" s="2"/>
      <c r="V64" s="2"/>
      <c r="W64" s="2"/>
    </row>
    <row r="65" spans="1:23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5"/>
      <c r="S65" s="2"/>
      <c r="T65" s="2"/>
      <c r="U65" s="2"/>
      <c r="V65" s="2"/>
      <c r="W65" s="2"/>
    </row>
    <row r="66" spans="1:23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5"/>
      <c r="S66" s="2"/>
      <c r="T66" s="2"/>
      <c r="U66" s="2"/>
      <c r="V66" s="2"/>
      <c r="W66" s="2"/>
    </row>
    <row r="67" spans="1:23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5"/>
      <c r="S67" s="2"/>
      <c r="T67" s="2"/>
      <c r="U67" s="2"/>
      <c r="V67" s="2"/>
      <c r="W67" s="2"/>
    </row>
    <row r="68" spans="1:23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5"/>
      <c r="S68" s="2"/>
      <c r="T68" s="2"/>
      <c r="U68" s="2"/>
      <c r="V68" s="2"/>
      <c r="W68" s="2"/>
    </row>
    <row r="69" spans="1:23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5"/>
      <c r="S69" s="2"/>
      <c r="T69" s="2"/>
      <c r="U69" s="2"/>
      <c r="V69" s="2"/>
      <c r="W69" s="2"/>
    </row>
    <row r="70" spans="1:23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5"/>
      <c r="S70" s="2"/>
      <c r="T70" s="2"/>
      <c r="U70" s="2"/>
      <c r="V70" s="2"/>
      <c r="W70" s="2"/>
    </row>
    <row r="71" spans="1:2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5"/>
      <c r="S71" s="2"/>
      <c r="T71" s="2"/>
      <c r="U71" s="2"/>
      <c r="V71" s="2"/>
      <c r="W71" s="2"/>
    </row>
    <row r="72" spans="1:2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5"/>
      <c r="S72" s="2"/>
      <c r="T72" s="2"/>
      <c r="U72" s="2"/>
      <c r="V72" s="2"/>
      <c r="W72" s="2"/>
    </row>
    <row r="73" spans="1:2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5"/>
      <c r="S73" s="2"/>
      <c r="T73" s="2"/>
      <c r="U73" s="2"/>
      <c r="V73" s="2"/>
      <c r="W73" s="2"/>
    </row>
    <row r="74" spans="1:2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5"/>
      <c r="S74" s="2"/>
      <c r="T74" s="2"/>
      <c r="U74" s="2"/>
      <c r="V74" s="2"/>
      <c r="W74" s="2"/>
    </row>
    <row r="75" spans="1:2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5"/>
      <c r="S75" s="2"/>
      <c r="T75" s="2"/>
      <c r="U75" s="2"/>
      <c r="V75" s="2"/>
      <c r="W75" s="2"/>
    </row>
    <row r="76" spans="1:2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5"/>
      <c r="S76" s="2"/>
      <c r="T76" s="2"/>
      <c r="U76" s="2"/>
      <c r="V76" s="2"/>
      <c r="W76" s="2"/>
    </row>
    <row r="77" spans="1:2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5"/>
      <c r="S77" s="2"/>
      <c r="T77" s="2"/>
      <c r="U77" s="2"/>
      <c r="V77" s="2"/>
      <c r="W77" s="2"/>
    </row>
    <row r="78" spans="1:2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5"/>
      <c r="S78" s="2"/>
      <c r="T78" s="2"/>
      <c r="U78" s="2"/>
      <c r="V78" s="2"/>
      <c r="W78" s="2"/>
    </row>
    <row r="79" spans="1:2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5"/>
      <c r="S79" s="2"/>
      <c r="T79" s="2"/>
      <c r="U79" s="2"/>
      <c r="V79" s="2"/>
      <c r="W79" s="2"/>
    </row>
    <row r="80" spans="1:2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5"/>
      <c r="S80" s="2"/>
      <c r="T80" s="2"/>
      <c r="U80" s="2"/>
      <c r="V80" s="2"/>
      <c r="W80" s="2"/>
    </row>
    <row r="81" spans="1:2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5"/>
      <c r="S81" s="2"/>
      <c r="T81" s="2"/>
      <c r="U81" s="2"/>
      <c r="V81" s="2"/>
      <c r="W81" s="2"/>
    </row>
    <row r="82" spans="1:23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5"/>
      <c r="S82" s="2"/>
      <c r="T82" s="2"/>
      <c r="U82" s="2"/>
      <c r="V82" s="2"/>
      <c r="W82" s="2"/>
    </row>
    <row r="83" spans="1:2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5"/>
      <c r="S83" s="2"/>
      <c r="T83" s="2"/>
      <c r="U83" s="2"/>
      <c r="V83" s="2"/>
      <c r="W83" s="2"/>
    </row>
    <row r="84" spans="1:23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5"/>
      <c r="S84" s="2"/>
      <c r="T84" s="2"/>
      <c r="U84" s="2"/>
      <c r="V84" s="2"/>
      <c r="W84" s="2"/>
    </row>
    <row r="85" spans="1:23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5"/>
      <c r="S85" s="2"/>
      <c r="T85" s="2"/>
      <c r="U85" s="2"/>
      <c r="V85" s="2"/>
      <c r="W85" s="2"/>
    </row>
    <row r="86" spans="1:23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5"/>
      <c r="S86" s="2"/>
      <c r="T86" s="2"/>
      <c r="U86" s="2"/>
      <c r="V86" s="2"/>
      <c r="W86" s="2"/>
    </row>
    <row r="87" spans="1:23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5"/>
      <c r="S87" s="2"/>
      <c r="T87" s="2"/>
      <c r="U87" s="2"/>
      <c r="V87" s="2"/>
      <c r="W87" s="2"/>
    </row>
    <row r="88" spans="1:23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5"/>
      <c r="S88" s="2"/>
      <c r="T88" s="2"/>
      <c r="U88" s="2"/>
      <c r="V88" s="2"/>
      <c r="W88" s="2"/>
    </row>
    <row r="89" spans="1:2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5"/>
      <c r="S89" s="2"/>
      <c r="T89" s="2"/>
      <c r="U89" s="2"/>
      <c r="V89" s="2"/>
      <c r="W89" s="2"/>
    </row>
    <row r="90" spans="1:2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5"/>
      <c r="S90" s="2"/>
      <c r="T90" s="2"/>
      <c r="U90" s="2"/>
      <c r="V90" s="2"/>
      <c r="W90" s="2"/>
    </row>
    <row r="91" spans="1:2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5"/>
      <c r="S91" s="2"/>
      <c r="T91" s="2"/>
      <c r="U91" s="2"/>
      <c r="V91" s="2"/>
      <c r="W91" s="2"/>
    </row>
    <row r="92" spans="1:2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5"/>
      <c r="S92" s="2"/>
      <c r="T92" s="2"/>
      <c r="U92" s="2"/>
      <c r="V92" s="2"/>
      <c r="W92" s="2"/>
    </row>
    <row r="93" spans="1:2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5"/>
      <c r="S93" s="2"/>
      <c r="T93" s="2"/>
      <c r="U93" s="2"/>
      <c r="V93" s="2"/>
      <c r="W93" s="2"/>
    </row>
    <row r="94" spans="1:2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5"/>
      <c r="S94" s="2"/>
      <c r="T94" s="2"/>
      <c r="U94" s="2"/>
      <c r="V94" s="2"/>
      <c r="W94" s="2"/>
    </row>
    <row r="95" spans="1:2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5"/>
      <c r="S95" s="2"/>
      <c r="T95" s="2"/>
      <c r="U95" s="2"/>
      <c r="V95" s="2"/>
      <c r="W95" s="2"/>
    </row>
    <row r="96" spans="1:2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5"/>
      <c r="S96" s="2"/>
      <c r="T96" s="2"/>
      <c r="U96" s="2"/>
      <c r="V96" s="2"/>
      <c r="W96" s="2"/>
    </row>
    <row r="97" spans="1:2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5"/>
      <c r="S97" s="2"/>
      <c r="T97" s="2"/>
      <c r="U97" s="2"/>
      <c r="V97" s="2"/>
      <c r="W97" s="2"/>
    </row>
    <row r="98" spans="1:2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5"/>
      <c r="S98" s="2"/>
      <c r="T98" s="2"/>
      <c r="U98" s="2"/>
      <c r="V98" s="2"/>
      <c r="W98" s="2"/>
    </row>
    <row r="99" spans="1:2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5"/>
      <c r="S99" s="2"/>
      <c r="T99" s="2"/>
      <c r="U99" s="2"/>
      <c r="V99" s="2"/>
      <c r="W99" s="2"/>
    </row>
    <row r="100" spans="1:2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5"/>
      <c r="S100" s="2"/>
      <c r="T100" s="2"/>
      <c r="U100" s="2"/>
      <c r="V100" s="2"/>
      <c r="W100" s="2"/>
    </row>
    <row r="101" spans="1:2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5"/>
      <c r="S101" s="2"/>
      <c r="T101" s="2"/>
      <c r="U101" s="2"/>
      <c r="V101" s="2"/>
      <c r="W101" s="2"/>
    </row>
    <row r="102" spans="1:2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5"/>
      <c r="S102" s="2"/>
      <c r="T102" s="2"/>
      <c r="U102" s="2"/>
      <c r="V102" s="2"/>
      <c r="W102" s="2"/>
    </row>
    <row r="103" spans="1:2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5"/>
      <c r="S103" s="2"/>
      <c r="T103" s="2"/>
      <c r="U103" s="2"/>
      <c r="V103" s="2"/>
      <c r="W103" s="2"/>
    </row>
    <row r="104" spans="1:2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5"/>
      <c r="S104" s="2"/>
      <c r="T104" s="2"/>
      <c r="U104" s="2"/>
      <c r="V104" s="2"/>
      <c r="W104" s="2"/>
    </row>
    <row r="105" spans="1:2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5"/>
      <c r="S105" s="2"/>
      <c r="T105" s="2"/>
      <c r="U105" s="2"/>
      <c r="V105" s="2"/>
      <c r="W105" s="2"/>
    </row>
    <row r="106" spans="1:23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5"/>
      <c r="S106" s="2"/>
      <c r="T106" s="2"/>
      <c r="U106" s="2"/>
      <c r="V106" s="2"/>
      <c r="W106" s="2"/>
    </row>
    <row r="107" spans="1:23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5"/>
      <c r="S107" s="2"/>
      <c r="T107" s="2"/>
      <c r="U107" s="2"/>
      <c r="V107" s="2"/>
      <c r="W107" s="2"/>
    </row>
    <row r="108" spans="1:23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5"/>
      <c r="S108" s="2"/>
      <c r="T108" s="2"/>
      <c r="U108" s="2"/>
      <c r="V108" s="2"/>
      <c r="W108" s="2"/>
    </row>
    <row r="109" spans="1:23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5"/>
      <c r="S109" s="2"/>
      <c r="T109" s="2"/>
      <c r="U109" s="2"/>
      <c r="V109" s="2"/>
      <c r="W109" s="2"/>
    </row>
    <row r="110" spans="1:23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5"/>
      <c r="S110" s="2"/>
      <c r="T110" s="2"/>
      <c r="U110" s="2"/>
      <c r="V110" s="2"/>
      <c r="W110" s="2"/>
    </row>
    <row r="111" spans="1:2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5"/>
      <c r="S111" s="2"/>
      <c r="T111" s="2"/>
      <c r="U111" s="2"/>
      <c r="V111" s="2"/>
      <c r="W111" s="2"/>
    </row>
    <row r="112" spans="1:2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5"/>
      <c r="S112" s="2"/>
      <c r="T112" s="2"/>
      <c r="U112" s="2"/>
      <c r="V112" s="2"/>
      <c r="W112" s="2"/>
    </row>
    <row r="113" spans="1:2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5"/>
      <c r="S113" s="2"/>
      <c r="T113" s="2"/>
      <c r="U113" s="2"/>
      <c r="V113" s="2"/>
      <c r="W113" s="2"/>
    </row>
    <row r="114" spans="1:2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5"/>
      <c r="S114" s="2"/>
      <c r="T114" s="2"/>
      <c r="U114" s="2"/>
      <c r="V114" s="2"/>
      <c r="W114" s="2"/>
    </row>
    <row r="115" spans="1:2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5"/>
      <c r="S115" s="2"/>
      <c r="T115" s="2"/>
      <c r="U115" s="2"/>
      <c r="V115" s="2"/>
      <c r="W115" s="2"/>
    </row>
    <row r="116" spans="1:2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5"/>
      <c r="S116" s="2"/>
      <c r="T116" s="2"/>
      <c r="U116" s="2"/>
      <c r="V116" s="2"/>
      <c r="W116" s="2"/>
    </row>
    <row r="117" spans="1:2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5"/>
      <c r="S117" s="2"/>
      <c r="T117" s="2"/>
      <c r="U117" s="2"/>
      <c r="V117" s="2"/>
      <c r="W117" s="2"/>
    </row>
    <row r="118" spans="1:2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5"/>
      <c r="S118" s="2"/>
      <c r="T118" s="2"/>
      <c r="U118" s="2"/>
      <c r="V118" s="2"/>
      <c r="W118" s="2"/>
    </row>
    <row r="119" spans="1:2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5"/>
      <c r="S119" s="2"/>
      <c r="T119" s="2"/>
      <c r="U119" s="2"/>
      <c r="V119" s="2"/>
      <c r="W119" s="2"/>
    </row>
    <row r="120" spans="1:2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5"/>
      <c r="S120" s="2"/>
      <c r="T120" s="2"/>
      <c r="U120" s="2"/>
      <c r="V120" s="2"/>
      <c r="W120" s="2"/>
    </row>
    <row r="121" spans="1:2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5"/>
      <c r="S121" s="2"/>
      <c r="T121" s="2"/>
      <c r="U121" s="2"/>
      <c r="V121" s="2"/>
      <c r="W121" s="2"/>
    </row>
    <row r="122" spans="1:2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5"/>
      <c r="S122" s="2"/>
      <c r="T122" s="2"/>
      <c r="U122" s="2"/>
      <c r="V122" s="2"/>
      <c r="W122" s="2"/>
    </row>
    <row r="123" spans="1: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5"/>
      <c r="S123" s="2"/>
      <c r="T123" s="2"/>
      <c r="U123" s="2"/>
      <c r="V123" s="2"/>
      <c r="W123" s="2"/>
    </row>
    <row r="124" spans="1:2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5"/>
      <c r="S124" s="2"/>
      <c r="T124" s="2"/>
      <c r="U124" s="2"/>
      <c r="V124" s="2"/>
      <c r="W124" s="2"/>
    </row>
    <row r="125" spans="1:2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5"/>
      <c r="S125" s="2"/>
      <c r="T125" s="2"/>
      <c r="U125" s="2"/>
      <c r="V125" s="2"/>
      <c r="W125" s="2"/>
    </row>
    <row r="126" spans="1:2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5"/>
      <c r="S126" s="2"/>
      <c r="T126" s="2"/>
      <c r="U126" s="2"/>
      <c r="V126" s="2"/>
      <c r="W126" s="2"/>
    </row>
    <row r="127" spans="1:2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5"/>
      <c r="S127" s="2"/>
      <c r="T127" s="2"/>
      <c r="U127" s="2"/>
      <c r="V127" s="2"/>
      <c r="W127" s="2"/>
    </row>
    <row r="128" spans="1:2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5"/>
      <c r="S128" s="2"/>
      <c r="T128" s="2"/>
      <c r="U128" s="2"/>
      <c r="V128" s="2"/>
      <c r="W128" s="2"/>
    </row>
    <row r="129" spans="1:2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5"/>
      <c r="S129" s="2"/>
      <c r="T129" s="2"/>
      <c r="U129" s="2"/>
      <c r="V129" s="2"/>
      <c r="W129" s="2"/>
    </row>
    <row r="130" spans="1:2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5"/>
      <c r="S130" s="2"/>
      <c r="T130" s="2"/>
      <c r="U130" s="2"/>
      <c r="V130" s="2"/>
      <c r="W130" s="2"/>
    </row>
    <row r="131" spans="1:2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5"/>
      <c r="S131" s="2"/>
      <c r="T131" s="2"/>
      <c r="U131" s="2"/>
      <c r="V131" s="2"/>
      <c r="W131" s="2"/>
    </row>
    <row r="132" spans="1:2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5"/>
      <c r="S132" s="2"/>
      <c r="T132" s="2"/>
      <c r="U132" s="2"/>
      <c r="V132" s="2"/>
      <c r="W132" s="2"/>
    </row>
    <row r="133" spans="1:2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5"/>
      <c r="S133" s="2"/>
      <c r="T133" s="2"/>
      <c r="U133" s="2"/>
      <c r="V133" s="2"/>
      <c r="W133" s="2"/>
    </row>
    <row r="134" spans="1:2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5"/>
      <c r="S134" s="2"/>
      <c r="T134" s="2"/>
      <c r="U134" s="2"/>
      <c r="V134" s="2"/>
      <c r="W134" s="2"/>
    </row>
    <row r="135" spans="1:2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5"/>
      <c r="S135" s="2"/>
      <c r="T135" s="2"/>
      <c r="U135" s="2"/>
      <c r="V135" s="2"/>
      <c r="W135" s="2"/>
    </row>
    <row r="136" spans="1:2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5"/>
      <c r="S136" s="2"/>
      <c r="T136" s="2"/>
      <c r="U136" s="2"/>
      <c r="V136" s="2"/>
      <c r="W136" s="2"/>
    </row>
    <row r="137" spans="1:2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5"/>
      <c r="S137" s="2"/>
      <c r="T137" s="2"/>
      <c r="U137" s="2"/>
      <c r="V137" s="2"/>
      <c r="W137" s="2"/>
    </row>
    <row r="138" spans="1:2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5"/>
      <c r="S138" s="2"/>
      <c r="T138" s="2"/>
      <c r="U138" s="2"/>
      <c r="V138" s="2"/>
      <c r="W138" s="2"/>
    </row>
    <row r="139" spans="1:2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5"/>
      <c r="S139" s="2"/>
      <c r="T139" s="2"/>
      <c r="U139" s="2"/>
      <c r="V139" s="2"/>
      <c r="W139" s="2"/>
    </row>
    <row r="140" spans="1:2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5"/>
      <c r="S140" s="2"/>
      <c r="T140" s="2"/>
      <c r="U140" s="2"/>
      <c r="V140" s="2"/>
      <c r="W140" s="2"/>
    </row>
    <row r="141" spans="1:2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5"/>
      <c r="S141" s="2"/>
      <c r="T141" s="2"/>
      <c r="U141" s="2"/>
      <c r="V141" s="2"/>
      <c r="W141" s="2"/>
    </row>
    <row r="142" spans="1:2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5"/>
      <c r="S142" s="2"/>
      <c r="T142" s="2"/>
      <c r="U142" s="2"/>
      <c r="V142" s="2"/>
      <c r="W142" s="2"/>
    </row>
    <row r="143" spans="1:2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5"/>
      <c r="S143" s="2"/>
      <c r="T143" s="2"/>
      <c r="U143" s="2"/>
      <c r="V143" s="2"/>
      <c r="W143" s="2"/>
    </row>
    <row r="144" spans="1:2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5"/>
      <c r="S144" s="2"/>
      <c r="T144" s="2"/>
      <c r="U144" s="2"/>
      <c r="V144" s="2"/>
      <c r="W144" s="2"/>
    </row>
    <row r="145" spans="1:2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5"/>
      <c r="S145" s="2"/>
      <c r="T145" s="2"/>
      <c r="U145" s="2"/>
      <c r="V145" s="2"/>
      <c r="W145" s="2"/>
    </row>
    <row r="146" spans="1:2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5"/>
      <c r="S146" s="2"/>
      <c r="T146" s="2"/>
      <c r="U146" s="2"/>
      <c r="V146" s="2"/>
      <c r="W146" s="2"/>
    </row>
    <row r="147" spans="1:2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5"/>
      <c r="S147" s="2"/>
      <c r="T147" s="2"/>
      <c r="U147" s="2"/>
      <c r="V147" s="2"/>
      <c r="W147" s="2"/>
    </row>
    <row r="148" spans="1:2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5"/>
      <c r="S148" s="2"/>
      <c r="T148" s="2"/>
      <c r="U148" s="2"/>
      <c r="V148" s="2"/>
      <c r="W148" s="2"/>
    </row>
    <row r="149" spans="1:2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5"/>
      <c r="S149" s="2"/>
      <c r="T149" s="2"/>
      <c r="U149" s="2"/>
      <c r="V149" s="2"/>
      <c r="W149" s="2"/>
    </row>
    <row r="150" spans="1:2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5"/>
      <c r="S150" s="2"/>
      <c r="T150" s="2"/>
      <c r="U150" s="2"/>
      <c r="V150" s="2"/>
      <c r="W150" s="2"/>
    </row>
    <row r="151" spans="1:2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5"/>
      <c r="S151" s="2"/>
      <c r="T151" s="2"/>
      <c r="U151" s="2"/>
      <c r="V151" s="2"/>
      <c r="W151" s="2"/>
    </row>
    <row r="152" spans="1:2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5"/>
      <c r="S152" s="2"/>
      <c r="T152" s="2"/>
      <c r="U152" s="2"/>
      <c r="V152" s="2"/>
      <c r="W152" s="2"/>
    </row>
    <row r="153" spans="1:2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5"/>
      <c r="S153" s="2"/>
      <c r="T153" s="2"/>
      <c r="U153" s="2"/>
      <c r="V153" s="2"/>
      <c r="W153" s="2"/>
    </row>
    <row r="154" spans="1:2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5"/>
      <c r="S154" s="2"/>
      <c r="T154" s="2"/>
      <c r="U154" s="2"/>
      <c r="V154" s="2"/>
      <c r="W154" s="2"/>
    </row>
    <row r="155" spans="1:23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5"/>
      <c r="S155" s="2"/>
      <c r="T155" s="2"/>
      <c r="U155" s="2"/>
      <c r="V155" s="2"/>
      <c r="W155" s="2"/>
    </row>
    <row r="156" spans="1:23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5"/>
      <c r="S156" s="2"/>
      <c r="T156" s="2"/>
      <c r="U156" s="2"/>
      <c r="V156" s="2"/>
      <c r="W156" s="2"/>
    </row>
    <row r="157" spans="1:23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5"/>
      <c r="S157" s="2"/>
      <c r="T157" s="2"/>
      <c r="U157" s="2"/>
      <c r="V157" s="2"/>
      <c r="W157" s="2"/>
    </row>
    <row r="158" spans="1:23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5"/>
      <c r="S158" s="2"/>
      <c r="T158" s="2"/>
      <c r="U158" s="2"/>
      <c r="V158" s="2"/>
      <c r="W158" s="2"/>
    </row>
    <row r="159" spans="1:23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5"/>
      <c r="S159" s="2"/>
      <c r="T159" s="2"/>
      <c r="U159" s="2"/>
      <c r="V159" s="2"/>
      <c r="W159" s="2"/>
    </row>
    <row r="160" spans="1:23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5"/>
      <c r="S160" s="2"/>
      <c r="T160" s="2"/>
      <c r="U160" s="2"/>
      <c r="V160" s="2"/>
      <c r="W160" s="2"/>
    </row>
    <row r="161" spans="1:23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5"/>
      <c r="S161" s="2"/>
      <c r="T161" s="2"/>
      <c r="U161" s="2"/>
      <c r="V161" s="2"/>
      <c r="W161" s="2"/>
    </row>
    <row r="162" spans="1:23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5"/>
      <c r="S162" s="2"/>
      <c r="T162" s="2"/>
      <c r="U162" s="2"/>
      <c r="V162" s="2"/>
      <c r="W162" s="2"/>
    </row>
    <row r="163" spans="1:2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5"/>
      <c r="S163" s="2"/>
      <c r="T163" s="2"/>
      <c r="U163" s="2"/>
      <c r="V163" s="2"/>
      <c r="W163" s="2"/>
    </row>
    <row r="164" spans="1:23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5"/>
      <c r="S164" s="2"/>
      <c r="T164" s="2"/>
      <c r="U164" s="2"/>
      <c r="V164" s="2"/>
      <c r="W164" s="2"/>
    </row>
    <row r="165" spans="1:23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5"/>
      <c r="S165" s="2"/>
      <c r="T165" s="2"/>
      <c r="U165" s="2"/>
      <c r="V165" s="2"/>
      <c r="W165" s="2"/>
    </row>
    <row r="166" spans="1:23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5"/>
      <c r="S166" s="2"/>
      <c r="T166" s="2"/>
      <c r="U166" s="2"/>
      <c r="V166" s="2"/>
      <c r="W166" s="2"/>
    </row>
    <row r="167" spans="1:23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5"/>
      <c r="S167" s="2"/>
      <c r="T167" s="2"/>
      <c r="U167" s="2"/>
      <c r="V167" s="2"/>
      <c r="W167" s="2"/>
    </row>
    <row r="168" spans="1:2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5"/>
      <c r="S168" s="2"/>
      <c r="T168" s="2"/>
      <c r="U168" s="2"/>
      <c r="V168" s="2"/>
      <c r="W168" s="2"/>
    </row>
    <row r="169" spans="1:2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5"/>
      <c r="S169" s="2"/>
      <c r="T169" s="2"/>
      <c r="U169" s="2"/>
      <c r="V169" s="2"/>
      <c r="W169" s="2"/>
    </row>
    <row r="170" spans="1:2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5"/>
      <c r="S170" s="2"/>
      <c r="T170" s="2"/>
      <c r="U170" s="2"/>
      <c r="V170" s="2"/>
      <c r="W170" s="2"/>
    </row>
    <row r="171" spans="1:2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5"/>
      <c r="S171" s="2"/>
      <c r="T171" s="2"/>
      <c r="U171" s="2"/>
      <c r="V171" s="2"/>
      <c r="W171" s="2"/>
    </row>
    <row r="172" spans="1:2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5"/>
      <c r="S172" s="2"/>
      <c r="T172" s="2"/>
      <c r="U172" s="2"/>
      <c r="V172" s="2"/>
      <c r="W172" s="2"/>
    </row>
    <row r="173" spans="1:2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5"/>
      <c r="S173" s="2"/>
      <c r="T173" s="2"/>
      <c r="U173" s="2"/>
      <c r="V173" s="2"/>
      <c r="W173" s="2"/>
    </row>
    <row r="174" spans="1:2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5"/>
      <c r="S174" s="2"/>
      <c r="T174" s="2"/>
      <c r="U174" s="2"/>
      <c r="V174" s="2"/>
      <c r="W174" s="2"/>
    </row>
    <row r="175" spans="1:2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5"/>
      <c r="S175" s="2"/>
      <c r="T175" s="2"/>
      <c r="U175" s="2"/>
      <c r="V175" s="2"/>
      <c r="W175" s="2"/>
    </row>
    <row r="176" spans="1:2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5"/>
      <c r="S176" s="2"/>
      <c r="T176" s="2"/>
      <c r="U176" s="2"/>
      <c r="V176" s="2"/>
      <c r="W176" s="2"/>
    </row>
    <row r="177" spans="1:2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5"/>
      <c r="S177" s="2"/>
      <c r="T177" s="2"/>
      <c r="U177" s="2"/>
      <c r="V177" s="2"/>
      <c r="W177" s="2"/>
    </row>
    <row r="178" spans="1:2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5"/>
      <c r="S178" s="2"/>
      <c r="T178" s="2"/>
      <c r="U178" s="2"/>
      <c r="V178" s="2"/>
      <c r="W178" s="2"/>
    </row>
    <row r="179" spans="1:2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5"/>
      <c r="S179" s="2"/>
      <c r="T179" s="2"/>
      <c r="U179" s="2"/>
      <c r="V179" s="2"/>
      <c r="W179" s="2"/>
    </row>
    <row r="180" spans="1:2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5"/>
      <c r="S180" s="2"/>
      <c r="T180" s="2"/>
      <c r="U180" s="2"/>
      <c r="V180" s="2"/>
      <c r="W180" s="2"/>
    </row>
    <row r="181" spans="1:2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5"/>
      <c r="S181" s="2"/>
      <c r="T181" s="2"/>
      <c r="U181" s="2"/>
      <c r="V181" s="2"/>
      <c r="W181" s="2"/>
    </row>
    <row r="182" spans="1:2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5"/>
      <c r="S182" s="2"/>
      <c r="T182" s="2"/>
      <c r="U182" s="2"/>
      <c r="V182" s="2"/>
      <c r="W182" s="2"/>
    </row>
    <row r="183" spans="1:2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5"/>
      <c r="S183" s="2"/>
      <c r="T183" s="2"/>
      <c r="U183" s="2"/>
      <c r="V183" s="2"/>
      <c r="W183" s="2"/>
    </row>
    <row r="184" spans="1:2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5"/>
      <c r="S184" s="2"/>
      <c r="T184" s="2"/>
      <c r="U184" s="2"/>
      <c r="V184" s="2"/>
      <c r="W184" s="2"/>
    </row>
    <row r="185" spans="1:2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5"/>
      <c r="S185" s="2"/>
      <c r="T185" s="2"/>
      <c r="U185" s="2"/>
      <c r="V185" s="2"/>
      <c r="W185" s="2"/>
    </row>
    <row r="186" spans="1:2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5"/>
      <c r="S186" s="2"/>
      <c r="T186" s="2"/>
      <c r="U186" s="2"/>
      <c r="V186" s="2"/>
      <c r="W186" s="2"/>
    </row>
    <row r="187" spans="1:2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5"/>
      <c r="S187" s="2"/>
      <c r="T187" s="2"/>
      <c r="U187" s="2"/>
      <c r="V187" s="2"/>
      <c r="W187" s="2"/>
    </row>
    <row r="188" spans="1:2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5"/>
      <c r="S188" s="2"/>
      <c r="T188" s="2"/>
      <c r="U188" s="2"/>
      <c r="V188" s="2"/>
      <c r="W188" s="2"/>
    </row>
    <row r="189" spans="1:23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5"/>
      <c r="S189" s="2"/>
      <c r="T189" s="2"/>
      <c r="U189" s="2"/>
      <c r="V189" s="2"/>
      <c r="W189" s="2"/>
    </row>
    <row r="190" spans="1:23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5"/>
      <c r="S190" s="2"/>
      <c r="T190" s="2"/>
      <c r="U190" s="2"/>
      <c r="V190" s="2"/>
      <c r="W190" s="2"/>
    </row>
    <row r="191" spans="1:23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5"/>
      <c r="S191" s="2"/>
      <c r="T191" s="2"/>
      <c r="U191" s="2"/>
      <c r="V191" s="2"/>
      <c r="W191" s="2"/>
    </row>
    <row r="192" spans="1:23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5"/>
      <c r="S192" s="2"/>
      <c r="T192" s="2"/>
      <c r="U192" s="2"/>
      <c r="V192" s="2"/>
      <c r="W192" s="2"/>
    </row>
    <row r="193" spans="1:2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5"/>
      <c r="S193" s="2"/>
      <c r="T193" s="2"/>
      <c r="U193" s="2"/>
      <c r="V193" s="2"/>
      <c r="W193" s="2"/>
    </row>
    <row r="194" spans="1:23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5"/>
      <c r="S194" s="2"/>
      <c r="T194" s="2"/>
      <c r="U194" s="2"/>
      <c r="V194" s="2"/>
      <c r="W194" s="2"/>
    </row>
    <row r="195" spans="1:23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5"/>
      <c r="S195" s="2"/>
      <c r="T195" s="2"/>
      <c r="U195" s="2"/>
      <c r="V195" s="2"/>
      <c r="W195" s="2"/>
    </row>
    <row r="196" spans="1:23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5"/>
      <c r="S196" s="2"/>
      <c r="T196" s="2"/>
      <c r="U196" s="2"/>
      <c r="V196" s="2"/>
      <c r="W196" s="2"/>
    </row>
    <row r="197" spans="1:23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5"/>
      <c r="S197" s="2"/>
      <c r="T197" s="2"/>
      <c r="U197" s="2"/>
      <c r="V197" s="2"/>
      <c r="W197" s="2"/>
    </row>
    <row r="198" spans="1:23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5"/>
      <c r="S198" s="2"/>
      <c r="T198" s="2"/>
      <c r="U198" s="2"/>
      <c r="V198" s="2"/>
      <c r="W198" s="2"/>
    </row>
    <row r="199" spans="1:23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5"/>
      <c r="S199" s="2"/>
      <c r="T199" s="2"/>
      <c r="U199" s="2"/>
      <c r="V199" s="2"/>
      <c r="W199" s="2"/>
    </row>
    <row r="200" spans="1:23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5"/>
      <c r="S200" s="2"/>
      <c r="T200" s="2"/>
      <c r="U200" s="2"/>
      <c r="V200" s="2"/>
      <c r="W200" s="2"/>
    </row>
    <row r="201" spans="1:23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5"/>
      <c r="S201" s="2"/>
      <c r="T201" s="2"/>
      <c r="U201" s="2"/>
      <c r="V201" s="2"/>
      <c r="W201" s="2"/>
    </row>
    <row r="202" spans="1:23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5"/>
      <c r="S202" s="2"/>
      <c r="T202" s="2"/>
      <c r="U202" s="2"/>
      <c r="V202" s="2"/>
      <c r="W202" s="2"/>
    </row>
    <row r="203" spans="1:2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5"/>
      <c r="S203" s="2"/>
      <c r="T203" s="2"/>
      <c r="U203" s="2"/>
      <c r="V203" s="2"/>
      <c r="W203" s="2"/>
    </row>
    <row r="204" spans="1:23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5"/>
      <c r="S204" s="2"/>
      <c r="T204" s="2"/>
      <c r="U204" s="2"/>
      <c r="V204" s="2"/>
      <c r="W204" s="2"/>
    </row>
    <row r="205" spans="1:23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5"/>
      <c r="S205" s="2"/>
      <c r="T205" s="2"/>
      <c r="U205" s="2"/>
      <c r="V205" s="2"/>
      <c r="W205" s="2"/>
    </row>
    <row r="206" spans="1:23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5"/>
      <c r="S206" s="2"/>
      <c r="T206" s="2"/>
      <c r="U206" s="2"/>
      <c r="V206" s="2"/>
      <c r="W206" s="2"/>
    </row>
    <row r="207" spans="1:23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5"/>
      <c r="S207" s="2"/>
      <c r="T207" s="2"/>
      <c r="U207" s="2"/>
      <c r="V207" s="2"/>
      <c r="W207" s="2"/>
    </row>
    <row r="208" spans="1:23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5"/>
      <c r="S208" s="2"/>
      <c r="T208" s="2"/>
      <c r="U208" s="2"/>
      <c r="V208" s="2"/>
      <c r="W208" s="2"/>
    </row>
    <row r="209" spans="1:23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5"/>
      <c r="S209" s="2"/>
      <c r="T209" s="2"/>
      <c r="U209" s="2"/>
      <c r="V209" s="2"/>
      <c r="W209" s="2"/>
    </row>
    <row r="210" spans="1:23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5"/>
      <c r="S210" s="2"/>
      <c r="T210" s="2"/>
      <c r="U210" s="2"/>
      <c r="V210" s="2"/>
      <c r="W210" s="2"/>
    </row>
    <row r="211" spans="1:23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5"/>
      <c r="S211" s="2"/>
      <c r="T211" s="2"/>
      <c r="U211" s="2"/>
      <c r="V211" s="2"/>
      <c r="W211" s="2"/>
    </row>
    <row r="212" spans="1:23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5"/>
      <c r="S212" s="2"/>
      <c r="T212" s="2"/>
      <c r="U212" s="2"/>
      <c r="V212" s="2"/>
      <c r="W212" s="2"/>
    </row>
    <row r="213" spans="1:2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5"/>
      <c r="S213" s="2"/>
      <c r="T213" s="2"/>
      <c r="U213" s="2"/>
      <c r="V213" s="2"/>
      <c r="W213" s="2"/>
    </row>
    <row r="214" spans="1:23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5"/>
      <c r="S214" s="2"/>
      <c r="T214" s="2"/>
      <c r="U214" s="2"/>
      <c r="V214" s="2"/>
      <c r="W214" s="2"/>
    </row>
    <row r="215" spans="1:23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5"/>
      <c r="S215" s="2"/>
      <c r="T215" s="2"/>
      <c r="U215" s="2"/>
      <c r="V215" s="2"/>
      <c r="W215" s="2"/>
    </row>
    <row r="216" spans="1:23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5"/>
      <c r="S216" s="2"/>
      <c r="T216" s="2"/>
      <c r="U216" s="2"/>
      <c r="V216" s="2"/>
      <c r="W216" s="2"/>
    </row>
    <row r="217" spans="1:23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5"/>
      <c r="S217" s="2"/>
      <c r="T217" s="2"/>
      <c r="U217" s="2"/>
      <c r="V217" s="2"/>
      <c r="W217" s="2"/>
    </row>
    <row r="218" spans="1:23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5"/>
      <c r="S218" s="2"/>
      <c r="T218" s="2"/>
      <c r="U218" s="2"/>
      <c r="V218" s="2"/>
      <c r="W218" s="2"/>
    </row>
    <row r="219" spans="1:23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5"/>
      <c r="S219" s="2"/>
      <c r="T219" s="2"/>
      <c r="U219" s="2"/>
      <c r="V219" s="2"/>
      <c r="W219" s="2"/>
    </row>
    <row r="220" spans="1:23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5"/>
      <c r="S220" s="2"/>
      <c r="T220" s="2"/>
      <c r="U220" s="2"/>
      <c r="V220" s="2"/>
      <c r="W220" s="2"/>
    </row>
    <row r="221" spans="1:23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5"/>
      <c r="S221" s="2"/>
      <c r="T221" s="2"/>
      <c r="U221" s="2"/>
      <c r="V221" s="2"/>
      <c r="W221" s="2"/>
    </row>
    <row r="222" spans="1:23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5"/>
      <c r="S222" s="2"/>
      <c r="T222" s="2"/>
      <c r="U222" s="2"/>
      <c r="V222" s="2"/>
      <c r="W222" s="2"/>
    </row>
    <row r="223" spans="1: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5"/>
      <c r="S223" s="2"/>
      <c r="T223" s="2"/>
      <c r="U223" s="2"/>
      <c r="V223" s="2"/>
      <c r="W223" s="2"/>
    </row>
    <row r="224" spans="1:23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5"/>
      <c r="S224" s="2"/>
      <c r="T224" s="2"/>
      <c r="U224" s="2"/>
      <c r="V224" s="2"/>
      <c r="W224" s="2"/>
    </row>
    <row r="225" spans="1:23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5"/>
      <c r="S225" s="2"/>
      <c r="T225" s="2"/>
      <c r="U225" s="2"/>
      <c r="V225" s="2"/>
      <c r="W225" s="2"/>
    </row>
    <row r="226" spans="1:23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5"/>
      <c r="S226" s="2"/>
      <c r="T226" s="2"/>
      <c r="U226" s="2"/>
      <c r="V226" s="2"/>
      <c r="W226" s="2"/>
    </row>
    <row r="227" spans="1:23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5"/>
      <c r="S227" s="2"/>
      <c r="T227" s="2"/>
      <c r="U227" s="2"/>
      <c r="V227" s="2"/>
      <c r="W227" s="2"/>
    </row>
    <row r="228" spans="1:23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5"/>
      <c r="S228" s="2"/>
      <c r="T228" s="2"/>
      <c r="U228" s="2"/>
      <c r="V228" s="2"/>
      <c r="W228" s="2"/>
    </row>
    <row r="229" spans="1:23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5"/>
      <c r="S229" s="2"/>
      <c r="T229" s="2"/>
      <c r="U229" s="2"/>
      <c r="V229" s="2"/>
      <c r="W229" s="2"/>
    </row>
    <row r="230" spans="1:23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5"/>
      <c r="S230" s="2"/>
      <c r="T230" s="2"/>
      <c r="U230" s="2"/>
      <c r="V230" s="2"/>
      <c r="W230" s="2"/>
    </row>
    <row r="231" spans="1:23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5"/>
      <c r="S231" s="2"/>
      <c r="T231" s="2"/>
      <c r="U231" s="2"/>
      <c r="V231" s="2"/>
      <c r="W231" s="2"/>
    </row>
    <row r="232" spans="1:23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5"/>
      <c r="S232" s="2"/>
      <c r="T232" s="2"/>
      <c r="U232" s="2"/>
      <c r="V232" s="2"/>
      <c r="W232" s="2"/>
    </row>
    <row r="233" spans="1:2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5"/>
      <c r="S233" s="2"/>
      <c r="T233" s="2"/>
      <c r="U233" s="2"/>
      <c r="V233" s="2"/>
      <c r="W233" s="2"/>
    </row>
    <row r="234" spans="1:23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5"/>
      <c r="S234" s="2"/>
      <c r="T234" s="2"/>
      <c r="U234" s="2"/>
      <c r="V234" s="2"/>
      <c r="W234" s="2"/>
    </row>
    <row r="235" spans="1:23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5"/>
      <c r="S235" s="2"/>
      <c r="T235" s="2"/>
      <c r="U235" s="2"/>
      <c r="V235" s="2"/>
      <c r="W235" s="2"/>
    </row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5">
    <mergeCell ref="A22:D22"/>
    <mergeCell ref="A25:G25"/>
    <mergeCell ref="A28:D28"/>
    <mergeCell ref="A2:R2"/>
    <mergeCell ref="A3:A4"/>
    <mergeCell ref="B3:B4"/>
    <mergeCell ref="C3:C4"/>
    <mergeCell ref="D3:D4"/>
    <mergeCell ref="E3:E4"/>
    <mergeCell ref="F3:F4"/>
    <mergeCell ref="R3:R4"/>
    <mergeCell ref="H5:P5"/>
    <mergeCell ref="G3:G4"/>
    <mergeCell ref="Q3:Q4"/>
    <mergeCell ref="A6:G6"/>
  </mergeCells>
  <phoneticPr fontId="53" type="noConversion"/>
  <pageMargins left="0.511811024" right="0.511811024" top="0.78740157499999996" bottom="0.78740157499999996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zoomScale="115" zoomScaleNormal="115" workbookViewId="0">
      <pane xSplit="3" ySplit="4" topLeftCell="D6" activePane="bottomRight" state="frozen"/>
      <selection pane="topRight" activeCell="D1" sqref="D1"/>
      <selection pane="bottomLeft" activeCell="A5" sqref="A5"/>
      <selection pane="bottomRight" activeCell="K21" sqref="K21"/>
    </sheetView>
  </sheetViews>
  <sheetFormatPr defaultColWidth="14.42578125" defaultRowHeight="15" customHeight="1"/>
  <cols>
    <col min="1" max="1" width="67.140625" customWidth="1"/>
    <col min="2" max="2" width="20.85546875" customWidth="1"/>
    <col min="3" max="3" width="14.28515625" customWidth="1"/>
    <col min="4" max="4" width="5.85546875" customWidth="1"/>
    <col min="5" max="5" width="71.85546875" customWidth="1"/>
    <col min="6" max="6" width="19.5703125" customWidth="1"/>
    <col min="7" max="7" width="19.7109375" customWidth="1"/>
    <col min="8" max="8" width="7.5703125" customWidth="1"/>
    <col min="9" max="9" width="74.140625" customWidth="1"/>
    <col min="10" max="10" width="20" customWidth="1"/>
    <col min="11" max="11" width="10.7109375" customWidth="1"/>
    <col min="12" max="12" width="5.42578125" customWidth="1"/>
  </cols>
  <sheetData>
    <row r="1" spans="1:15" ht="26.25">
      <c r="A1" s="343" t="s">
        <v>106</v>
      </c>
      <c r="B1" s="342"/>
      <c r="C1" s="342"/>
      <c r="D1" s="342"/>
      <c r="E1" s="342"/>
      <c r="F1" s="342"/>
      <c r="G1" s="342"/>
      <c r="H1" s="2"/>
      <c r="I1" s="2"/>
      <c r="J1" s="2"/>
      <c r="K1" s="2"/>
      <c r="L1" s="2"/>
      <c r="M1" s="2"/>
      <c r="N1" s="2"/>
      <c r="O1" s="2"/>
    </row>
    <row r="2" spans="1:15" ht="15.75" thickBo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9.25" customHeight="1">
      <c r="A3" s="366" t="s">
        <v>143</v>
      </c>
      <c r="B3" s="347"/>
      <c r="C3" s="347"/>
      <c r="D3" s="266"/>
      <c r="E3" s="366" t="s">
        <v>144</v>
      </c>
      <c r="F3" s="347"/>
      <c r="G3" s="347"/>
      <c r="H3" s="266"/>
      <c r="I3" s="344" t="s">
        <v>145</v>
      </c>
      <c r="J3" s="320"/>
      <c r="K3" s="345"/>
      <c r="L3" s="266"/>
      <c r="M3" s="2"/>
      <c r="N3" s="2"/>
      <c r="O3" s="2"/>
    </row>
    <row r="4" spans="1:15" ht="18.75">
      <c r="A4" s="367" t="s">
        <v>34</v>
      </c>
      <c r="B4" s="367" t="s">
        <v>36</v>
      </c>
      <c r="C4" s="367" t="s">
        <v>37</v>
      </c>
      <c r="D4" s="266"/>
      <c r="E4" s="370" t="s">
        <v>34</v>
      </c>
      <c r="F4" s="370" t="s">
        <v>36</v>
      </c>
      <c r="G4" s="370" t="s">
        <v>37</v>
      </c>
      <c r="H4" s="266"/>
      <c r="I4" s="270" t="s">
        <v>34</v>
      </c>
      <c r="J4" s="271" t="s">
        <v>36</v>
      </c>
      <c r="K4" s="272" t="s">
        <v>37</v>
      </c>
      <c r="L4" s="266"/>
      <c r="M4" s="2"/>
      <c r="N4" s="2"/>
      <c r="O4" s="2"/>
    </row>
    <row r="5" spans="1:15" ht="75">
      <c r="A5" s="363" t="s">
        <v>38</v>
      </c>
      <c r="B5" s="359"/>
      <c r="C5" s="364" t="e">
        <f>B5/B21</f>
        <v>#DIV/0!</v>
      </c>
      <c r="D5" s="275"/>
      <c r="E5" s="371" t="s">
        <v>38</v>
      </c>
      <c r="F5" s="359"/>
      <c r="G5" s="372" t="e">
        <f>F5/F21</f>
        <v>#DIV/0!</v>
      </c>
      <c r="H5" s="266"/>
      <c r="I5" s="360" t="s">
        <v>38</v>
      </c>
      <c r="J5" s="361"/>
      <c r="K5" s="274" t="e">
        <f>J5/J21</f>
        <v>#DIV/0!</v>
      </c>
      <c r="L5" s="266"/>
      <c r="M5" s="2"/>
      <c r="N5" s="2"/>
      <c r="O5" s="2"/>
    </row>
    <row r="6" spans="1:15" ht="56.25">
      <c r="A6" s="363" t="s">
        <v>107</v>
      </c>
      <c r="B6" s="359"/>
      <c r="C6" s="364" t="e">
        <f>B6/B21</f>
        <v>#DIV/0!</v>
      </c>
      <c r="D6" s="275"/>
      <c r="E6" s="357" t="s">
        <v>42</v>
      </c>
      <c r="F6" s="368"/>
      <c r="G6" s="369" t="e">
        <f>F6/F21</f>
        <v>#DIV/0!</v>
      </c>
      <c r="H6" s="266"/>
      <c r="I6" s="360" t="s">
        <v>42</v>
      </c>
      <c r="J6" s="361"/>
      <c r="K6" s="274" t="e">
        <f>J6/J21</f>
        <v>#DIV/0!</v>
      </c>
      <c r="L6" s="266"/>
      <c r="M6" s="2"/>
      <c r="N6" s="2"/>
      <c r="O6" s="2"/>
    </row>
    <row r="7" spans="1:15" ht="18.75">
      <c r="A7" s="363" t="s">
        <v>43</v>
      </c>
      <c r="B7" s="359"/>
      <c r="C7" s="364" t="e">
        <f>B7/B21</f>
        <v>#DIV/0!</v>
      </c>
      <c r="D7" s="275"/>
      <c r="E7" s="357" t="s">
        <v>108</v>
      </c>
      <c r="F7" s="359"/>
      <c r="G7" s="274" t="e">
        <f>F7/F21</f>
        <v>#DIV/0!</v>
      </c>
      <c r="H7" s="266"/>
      <c r="I7" s="360" t="s">
        <v>108</v>
      </c>
      <c r="J7" s="361"/>
      <c r="K7" s="274" t="e">
        <f>J7/J21</f>
        <v>#DIV/0!</v>
      </c>
      <c r="L7" s="266"/>
      <c r="M7" s="2"/>
      <c r="N7" s="2"/>
      <c r="O7" s="2"/>
    </row>
    <row r="8" spans="1:15" ht="18.75">
      <c r="A8" s="363" t="s">
        <v>109</v>
      </c>
      <c r="B8" s="359"/>
      <c r="C8" s="364" t="e">
        <f>B8/B21</f>
        <v>#DIV/0!</v>
      </c>
      <c r="D8" s="275"/>
      <c r="E8" s="357" t="s">
        <v>110</v>
      </c>
      <c r="F8" s="359"/>
      <c r="G8" s="274" t="e">
        <f>F8/F21</f>
        <v>#DIV/0!</v>
      </c>
      <c r="H8" s="266"/>
      <c r="I8" s="360" t="s">
        <v>110</v>
      </c>
      <c r="J8" s="361"/>
      <c r="K8" s="274" t="e">
        <f>J8/J21</f>
        <v>#DIV/0!</v>
      </c>
      <c r="L8" s="266"/>
      <c r="M8" s="2"/>
      <c r="N8" s="2"/>
      <c r="O8" s="2"/>
    </row>
    <row r="9" spans="1:15" ht="18.75">
      <c r="A9" s="363" t="s">
        <v>111</v>
      </c>
      <c r="B9" s="365">
        <v>0</v>
      </c>
      <c r="C9" s="364" t="e">
        <f>B9/B21</f>
        <v>#DIV/0!</v>
      </c>
      <c r="D9" s="278"/>
      <c r="E9" s="358" t="s">
        <v>111</v>
      </c>
      <c r="F9" s="359"/>
      <c r="G9" s="277" t="e">
        <f>F9/F21</f>
        <v>#DIV/0!</v>
      </c>
      <c r="H9" s="279"/>
      <c r="I9" s="362" t="s">
        <v>111</v>
      </c>
      <c r="J9" s="361"/>
      <c r="K9" s="277" t="e">
        <f>J9/J21</f>
        <v>#DIV/0!</v>
      </c>
      <c r="L9" s="280"/>
      <c r="M9" s="281"/>
      <c r="N9" s="281"/>
      <c r="O9" s="281"/>
    </row>
    <row r="10" spans="1:15" ht="18.75">
      <c r="A10" s="363" t="s">
        <v>112</v>
      </c>
      <c r="B10" s="359"/>
      <c r="C10" s="364" t="e">
        <f>B10/B21</f>
        <v>#DIV/0!</v>
      </c>
      <c r="D10" s="275"/>
      <c r="E10" s="357" t="s">
        <v>113</v>
      </c>
      <c r="F10" s="359">
        <v>0</v>
      </c>
      <c r="G10" s="274" t="e">
        <f>F10/F21</f>
        <v>#DIV/0!</v>
      </c>
      <c r="H10" s="266"/>
      <c r="I10" s="360" t="s">
        <v>113</v>
      </c>
      <c r="J10" s="361"/>
      <c r="K10" s="274" t="e">
        <f>J10/J21</f>
        <v>#DIV/0!</v>
      </c>
      <c r="L10" s="266"/>
      <c r="M10" s="2"/>
      <c r="N10" s="2"/>
      <c r="O10" s="2"/>
    </row>
    <row r="11" spans="1:15" ht="18.75">
      <c r="A11" s="282" t="s">
        <v>114</v>
      </c>
      <c r="B11" s="283">
        <f>SUM(B5:B10)</f>
        <v>0</v>
      </c>
      <c r="C11" s="284" t="e">
        <f>B11/B21</f>
        <v>#DIV/0!</v>
      </c>
      <c r="D11" s="285"/>
      <c r="E11" s="282" t="s">
        <v>114</v>
      </c>
      <c r="F11" s="283">
        <f>SUM(F5:F10)</f>
        <v>0</v>
      </c>
      <c r="G11" s="284" t="e">
        <f>F11/F21</f>
        <v>#DIV/0!</v>
      </c>
      <c r="H11" s="266"/>
      <c r="I11" s="282" t="s">
        <v>114</v>
      </c>
      <c r="J11" s="286">
        <f>SUM(J5:J10)</f>
        <v>0</v>
      </c>
      <c r="K11" s="284" t="e">
        <f>J11/J21</f>
        <v>#DIV/0!</v>
      </c>
      <c r="L11" s="266"/>
      <c r="M11" s="2"/>
      <c r="N11" s="2"/>
      <c r="O11" s="2"/>
    </row>
    <row r="12" spans="1:15" ht="37.5">
      <c r="A12" s="287" t="s">
        <v>115</v>
      </c>
      <c r="B12" s="273"/>
      <c r="C12" s="274" t="e">
        <f>B12/B21</f>
        <v>#DIV/0!</v>
      </c>
      <c r="D12" s="275"/>
      <c r="E12" s="287" t="s">
        <v>115</v>
      </c>
      <c r="F12" s="273">
        <f>SUM(F13:F15)</f>
        <v>0</v>
      </c>
      <c r="G12" s="274" t="e">
        <f>F12/F21</f>
        <v>#DIV/0!</v>
      </c>
      <c r="H12" s="266"/>
      <c r="I12" s="287" t="s">
        <v>115</v>
      </c>
      <c r="J12" s="273">
        <f>SUM(J13:J15)</f>
        <v>0</v>
      </c>
      <c r="K12" s="274" t="e">
        <f>J12/J21</f>
        <v>#DIV/0!</v>
      </c>
      <c r="L12" s="266"/>
      <c r="M12" s="2"/>
      <c r="N12" s="2"/>
      <c r="O12" s="2"/>
    </row>
    <row r="13" spans="1:15" ht="18.75">
      <c r="A13" s="287" t="s">
        <v>68</v>
      </c>
      <c r="B13" s="273">
        <v>0</v>
      </c>
      <c r="C13" s="288" t="e">
        <f>B13/B21</f>
        <v>#DIV/0!</v>
      </c>
      <c r="D13" s="275"/>
      <c r="E13" s="287" t="s">
        <v>68</v>
      </c>
      <c r="F13" s="273">
        <v>0</v>
      </c>
      <c r="G13" s="288" t="e">
        <f>F13/F21</f>
        <v>#DIV/0!</v>
      </c>
      <c r="H13" s="266"/>
      <c r="I13" s="287" t="s">
        <v>68</v>
      </c>
      <c r="J13" s="273">
        <v>0</v>
      </c>
      <c r="K13" s="288" t="e">
        <f>J13/J21</f>
        <v>#DIV/0!</v>
      </c>
      <c r="L13" s="266"/>
      <c r="M13" s="2"/>
      <c r="N13" s="2"/>
      <c r="O13" s="2"/>
    </row>
    <row r="14" spans="1:15" ht="18.75">
      <c r="A14" s="287" t="s">
        <v>69</v>
      </c>
      <c r="B14" s="273">
        <v>0</v>
      </c>
      <c r="C14" s="288" t="e">
        <f>B14/B21</f>
        <v>#DIV/0!</v>
      </c>
      <c r="D14" s="275"/>
      <c r="E14" s="287" t="s">
        <v>69</v>
      </c>
      <c r="F14" s="273">
        <v>0</v>
      </c>
      <c r="G14" s="288" t="e">
        <f>F14/F21</f>
        <v>#DIV/0!</v>
      </c>
      <c r="H14" s="266"/>
      <c r="I14" s="287" t="s">
        <v>69</v>
      </c>
      <c r="J14" s="273">
        <v>0</v>
      </c>
      <c r="K14" s="288" t="e">
        <f>J14/J21</f>
        <v>#DIV/0!</v>
      </c>
      <c r="L14" s="266"/>
      <c r="M14" s="2"/>
      <c r="N14" s="2"/>
      <c r="O14" s="2"/>
    </row>
    <row r="15" spans="1:15" ht="18.75">
      <c r="A15" s="287" t="s">
        <v>70</v>
      </c>
      <c r="B15" s="273"/>
      <c r="C15" s="274" t="e">
        <f>B15/B21</f>
        <v>#DIV/0!</v>
      </c>
      <c r="D15" s="275"/>
      <c r="E15" s="287" t="s">
        <v>70</v>
      </c>
      <c r="F15" s="356">
        <v>0</v>
      </c>
      <c r="G15" s="274" t="e">
        <f>F15/F21</f>
        <v>#DIV/0!</v>
      </c>
      <c r="H15" s="266"/>
      <c r="I15" s="287" t="s">
        <v>70</v>
      </c>
      <c r="J15" s="273"/>
      <c r="K15" s="274" t="e">
        <f>J15/J21</f>
        <v>#DIV/0!</v>
      </c>
      <c r="L15" s="266"/>
      <c r="M15" s="2"/>
      <c r="N15" s="2"/>
      <c r="O15" s="2"/>
    </row>
    <row r="16" spans="1:15" ht="18.75">
      <c r="A16" s="289" t="s">
        <v>116</v>
      </c>
      <c r="B16" s="290">
        <f>SUM(B11:B12)</f>
        <v>0</v>
      </c>
      <c r="C16" s="291" t="e">
        <f>B16/B21</f>
        <v>#DIV/0!</v>
      </c>
      <c r="D16" s="285"/>
      <c r="E16" s="289" t="s">
        <v>117</v>
      </c>
      <c r="F16" s="290">
        <f>SUM(F11:F12)</f>
        <v>0</v>
      </c>
      <c r="G16" s="291" t="e">
        <f>F16/F21</f>
        <v>#DIV/0!</v>
      </c>
      <c r="H16" s="266"/>
      <c r="I16" s="289" t="s">
        <v>118</v>
      </c>
      <c r="J16" s="290">
        <f>SUM(J11:J12)</f>
        <v>0</v>
      </c>
      <c r="K16" s="291" t="e">
        <f>J16/J21</f>
        <v>#DIV/0!</v>
      </c>
      <c r="L16" s="266"/>
      <c r="M16" s="2"/>
      <c r="N16" s="2"/>
      <c r="O16" s="2"/>
    </row>
    <row r="17" spans="1:15" ht="21.75" customHeight="1">
      <c r="A17" s="81" t="s">
        <v>71</v>
      </c>
      <c r="B17" s="273"/>
      <c r="C17" s="292" t="e">
        <f>B17/B21</f>
        <v>#DIV/0!</v>
      </c>
      <c r="D17" s="275"/>
      <c r="E17" s="81" t="s">
        <v>71</v>
      </c>
      <c r="F17" s="273"/>
      <c r="G17" s="292" t="e">
        <f>F17/F21</f>
        <v>#DIV/0!</v>
      </c>
      <c r="H17" s="266"/>
      <c r="I17" s="81" t="s">
        <v>71</v>
      </c>
      <c r="J17" s="273"/>
      <c r="K17" s="292" t="e">
        <f>J17/J21</f>
        <v>#DIV/0!</v>
      </c>
      <c r="L17" s="266"/>
      <c r="M17" s="2"/>
      <c r="N17" s="2"/>
      <c r="O17" s="2"/>
    </row>
    <row r="18" spans="1:15" ht="18.75">
      <c r="A18" s="81" t="s">
        <v>72</v>
      </c>
      <c r="B18" s="273"/>
      <c r="C18" s="292" t="e">
        <f>B18/B21</f>
        <v>#DIV/0!</v>
      </c>
      <c r="D18" s="285"/>
      <c r="E18" s="81" t="s">
        <v>72</v>
      </c>
      <c r="F18" s="273"/>
      <c r="G18" s="292" t="e">
        <f>F18/F21</f>
        <v>#DIV/0!</v>
      </c>
      <c r="H18" s="266"/>
      <c r="I18" s="81" t="s">
        <v>72</v>
      </c>
      <c r="J18" s="273"/>
      <c r="K18" s="292" t="e">
        <f>J18/J21</f>
        <v>#DIV/0!</v>
      </c>
      <c r="L18" s="266"/>
      <c r="M18" s="2"/>
      <c r="N18" s="2"/>
      <c r="O18" s="2"/>
    </row>
    <row r="19" spans="1:15" ht="18.75">
      <c r="A19" s="293" t="s">
        <v>119</v>
      </c>
      <c r="B19" s="294">
        <f t="shared" ref="B19:C19" si="0">SUM(B16:B18)</f>
        <v>0</v>
      </c>
      <c r="C19" s="295" t="e">
        <f t="shared" si="0"/>
        <v>#DIV/0!</v>
      </c>
      <c r="D19" s="266"/>
      <c r="E19" s="293" t="s">
        <v>119</v>
      </c>
      <c r="F19" s="294">
        <f t="shared" ref="F19:G19" si="1">SUM(F16:F18)</f>
        <v>0</v>
      </c>
      <c r="G19" s="296" t="e">
        <f t="shared" si="1"/>
        <v>#DIV/0!</v>
      </c>
      <c r="H19" s="266"/>
      <c r="I19" s="293" t="s">
        <v>119</v>
      </c>
      <c r="J19" s="294">
        <f t="shared" ref="J19:K19" si="2">SUM(J16:J18)</f>
        <v>0</v>
      </c>
      <c r="K19" s="296" t="e">
        <f t="shared" si="2"/>
        <v>#DIV/0!</v>
      </c>
      <c r="L19" s="266"/>
      <c r="M19" s="2"/>
      <c r="N19" s="2"/>
      <c r="O19" s="2"/>
    </row>
    <row r="20" spans="1:15" ht="39" customHeight="1">
      <c r="A20" s="81" t="s">
        <v>120</v>
      </c>
      <c r="B20" s="273"/>
      <c r="C20" s="297">
        <v>0.05</v>
      </c>
      <c r="D20" s="266"/>
      <c r="E20" s="81" t="s">
        <v>121</v>
      </c>
      <c r="F20" s="273"/>
      <c r="G20" s="298">
        <v>0.05</v>
      </c>
      <c r="H20" s="266"/>
      <c r="I20" s="81" t="s">
        <v>122</v>
      </c>
      <c r="J20" s="273"/>
      <c r="K20" s="298">
        <v>0.05</v>
      </c>
      <c r="L20" s="266"/>
      <c r="M20" s="2"/>
      <c r="N20" s="2"/>
      <c r="O20" s="2"/>
    </row>
    <row r="21" spans="1:15" ht="15.75" customHeight="1">
      <c r="A21" s="299" t="s">
        <v>123</v>
      </c>
      <c r="B21" s="300">
        <f t="shared" ref="B21:C21" si="3">B19+B20</f>
        <v>0</v>
      </c>
      <c r="C21" s="301" t="e">
        <f t="shared" si="3"/>
        <v>#DIV/0!</v>
      </c>
      <c r="D21" s="266"/>
      <c r="E21" s="299" t="s">
        <v>123</v>
      </c>
      <c r="F21" s="302">
        <f t="shared" ref="F21:G21" si="4">F19+F20</f>
        <v>0</v>
      </c>
      <c r="G21" s="303" t="e">
        <f t="shared" si="4"/>
        <v>#DIV/0!</v>
      </c>
      <c r="H21" s="266"/>
      <c r="I21" s="299" t="s">
        <v>123</v>
      </c>
      <c r="J21" s="302">
        <f t="shared" ref="J21:K21" si="5">J19+J20</f>
        <v>0</v>
      </c>
      <c r="K21" s="303" t="e">
        <f t="shared" si="5"/>
        <v>#DIV/0!</v>
      </c>
      <c r="L21" s="266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344" t="s">
        <v>124</v>
      </c>
      <c r="B25" s="320"/>
      <c r="C25" s="34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67" t="s">
        <v>34</v>
      </c>
      <c r="B26" s="268" t="s">
        <v>36</v>
      </c>
      <c r="C26" s="269" t="s">
        <v>37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>
      <c r="A27" s="81" t="s">
        <v>38</v>
      </c>
      <c r="B27" s="273"/>
      <c r="C27" s="274" t="e">
        <f>B27/B42</f>
        <v>#DIV/0!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5.75" customHeight="1">
      <c r="A28" s="81" t="s">
        <v>42</v>
      </c>
      <c r="B28" s="273"/>
      <c r="C28" s="274" t="e">
        <f>B28/B42</f>
        <v>#DIV/0!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5.75" customHeight="1">
      <c r="A29" s="81" t="s">
        <v>43</v>
      </c>
      <c r="B29" s="273"/>
      <c r="C29" s="274" t="e">
        <f>B29/B42</f>
        <v>#DIV/0!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5.75" customHeight="1">
      <c r="A30" s="81" t="s">
        <v>109</v>
      </c>
      <c r="B30" s="273"/>
      <c r="C30" s="274" t="e">
        <f>B30/B42</f>
        <v>#DIV/0!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5.75" customHeight="1">
      <c r="A31" s="276" t="s">
        <v>111</v>
      </c>
      <c r="B31" s="304"/>
      <c r="C31" s="277" t="e">
        <f>B31/B42</f>
        <v>#DIV/0!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5.75" customHeight="1">
      <c r="A32" s="81" t="s">
        <v>113</v>
      </c>
      <c r="B32" s="273"/>
      <c r="C32" s="274" t="e">
        <f>B32/B42</f>
        <v>#DIV/0!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5.75" customHeight="1">
      <c r="A33" s="282" t="s">
        <v>114</v>
      </c>
      <c r="B33" s="283">
        <f>SUM(B27:B32)</f>
        <v>0</v>
      </c>
      <c r="C33" s="284" t="e">
        <f>B33/B42</f>
        <v>#DIV/0!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5.75" customHeight="1">
      <c r="A34" s="287" t="s">
        <v>115</v>
      </c>
      <c r="B34" s="273"/>
      <c r="C34" s="274" t="e">
        <f>B34/B42</f>
        <v>#DIV/0!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5.75" customHeight="1">
      <c r="A35" s="287" t="s">
        <v>68</v>
      </c>
      <c r="B35" s="273"/>
      <c r="C35" s="288" t="e">
        <f>B35/B42</f>
        <v>#DIV/0!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5.75" customHeight="1">
      <c r="A36" s="287" t="s">
        <v>69</v>
      </c>
      <c r="B36" s="273"/>
      <c r="C36" s="288" t="e">
        <f>B36/B42</f>
        <v>#DIV/0!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5.75" customHeight="1">
      <c r="A37" s="287" t="s">
        <v>125</v>
      </c>
      <c r="B37" s="273"/>
      <c r="C37" s="274" t="e">
        <f>B37/B42</f>
        <v>#DIV/0!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5.75" customHeight="1">
      <c r="A38" s="287" t="s">
        <v>70</v>
      </c>
      <c r="B38" s="273"/>
      <c r="C38" s="274" t="e">
        <f>B38/B42</f>
        <v>#DIV/0!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5.75" customHeight="1">
      <c r="A39" s="289" t="s">
        <v>126</v>
      </c>
      <c r="B39" s="290"/>
      <c r="C39" s="291" t="e">
        <f>B39/B42</f>
        <v>#DIV/0!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5.75" customHeight="1">
      <c r="A40" s="81" t="s">
        <v>71</v>
      </c>
      <c r="B40" s="273"/>
      <c r="C40" s="292" t="e">
        <f>B40/B42</f>
        <v>#DIV/0!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5.75" customHeight="1">
      <c r="A41" s="81" t="s">
        <v>72</v>
      </c>
      <c r="B41" s="273"/>
      <c r="C41" s="292" t="e">
        <f>B41/B42</f>
        <v>#DIV/0!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5.75" customHeight="1">
      <c r="A42" s="299" t="s">
        <v>123</v>
      </c>
      <c r="B42" s="300">
        <f t="shared" ref="B42:C42" si="6">B33</f>
        <v>0</v>
      </c>
      <c r="C42" s="301" t="e">
        <f t="shared" si="6"/>
        <v>#DIV/0!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5.75" customHeight="1"/>
    <row r="244" spans="1:15" ht="15.75" customHeight="1"/>
    <row r="245" spans="1:15" ht="15.75" customHeight="1"/>
    <row r="246" spans="1:15" ht="15.75" customHeight="1"/>
    <row r="247" spans="1:15" ht="15.75" customHeight="1"/>
    <row r="248" spans="1:15" ht="15.75" customHeight="1"/>
    <row r="249" spans="1:15" ht="15.75" customHeight="1"/>
    <row r="250" spans="1:15" ht="15.75" customHeight="1"/>
    <row r="251" spans="1:15" ht="15.75" customHeight="1"/>
    <row r="252" spans="1:15" ht="15.75" customHeight="1"/>
    <row r="253" spans="1:15" ht="15.75" customHeight="1"/>
    <row r="254" spans="1:15" ht="15.75" customHeight="1"/>
    <row r="255" spans="1:15" ht="15.75" customHeight="1"/>
    <row r="256" spans="1:1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A3:C3"/>
    <mergeCell ref="E3:G3"/>
    <mergeCell ref="I3:K3"/>
    <mergeCell ref="A25:C25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DISPENDIO Geral Empresa</vt:lpstr>
      <vt:lpstr>Fluxo de Caixa</vt:lpstr>
      <vt:lpstr>Cronograma Desembolso</vt:lpstr>
      <vt:lpstr>Pagamento RH</vt:lpstr>
      <vt:lpstr>Controle - Remanejamento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Geziel Sena Colares</cp:lastModifiedBy>
  <dcterms:modified xsi:type="dcterms:W3CDTF">2026-10-05T23:24:52Z</dcterms:modified>
</cp:coreProperties>
</file>