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ARGUS\gestao_projetos\execucao_financeira\"/>
    </mc:Choice>
  </mc:AlternateContent>
  <xr:revisionPtr revIDLastSave="0" documentId="13_ncr:1_{C9C357BD-FC2E-4579-ACD5-B9C59AF7FB4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rcamento_empresa" sheetId="2" r:id="rId1"/>
    <sheet name="orcamento_embrabii" sheetId="3" r:id="rId2"/>
    <sheet name="orcamento_sebrae" sheetId="4" r:id="rId3"/>
    <sheet name="orcamento_biocaroc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5" l="1"/>
  <c r="B6" i="5"/>
  <c r="B7" i="5"/>
  <c r="B8" i="5"/>
  <c r="B9" i="5"/>
  <c r="B10" i="5"/>
  <c r="B12" i="5"/>
  <c r="B13" i="5"/>
  <c r="B14" i="5"/>
  <c r="B15" i="5"/>
  <c r="B16" i="5"/>
  <c r="B18" i="5"/>
  <c r="B19" i="5"/>
  <c r="B4" i="5"/>
  <c r="B11" i="4"/>
  <c r="B10" i="4"/>
  <c r="B11" i="3"/>
  <c r="B10" i="3"/>
  <c r="B11" i="2"/>
  <c r="B11" i="5" s="1"/>
  <c r="B10" i="2"/>
  <c r="B17" i="4" l="1"/>
  <c r="B20" i="4" s="1"/>
  <c r="C18" i="4" s="1"/>
  <c r="B17" i="3"/>
  <c r="B20" i="3" s="1"/>
  <c r="C10" i="3" s="1"/>
  <c r="B17" i="2"/>
  <c r="B20" i="2" l="1"/>
  <c r="C13" i="2" s="1"/>
  <c r="B17" i="5"/>
  <c r="B20" i="5" s="1"/>
  <c r="C20" i="5" s="1"/>
  <c r="C4" i="5"/>
  <c r="C5" i="5"/>
  <c r="C7" i="5"/>
  <c r="C10" i="5"/>
  <c r="C14" i="5"/>
  <c r="C20" i="4"/>
  <c r="C19" i="4"/>
  <c r="C7" i="4"/>
  <c r="C10" i="4"/>
  <c r="C14" i="4"/>
  <c r="C5" i="4"/>
  <c r="C4" i="4"/>
  <c r="C6" i="4"/>
  <c r="C8" i="4"/>
  <c r="C9" i="4"/>
  <c r="C11" i="4"/>
  <c r="C12" i="4"/>
  <c r="C13" i="4"/>
  <c r="C15" i="4"/>
  <c r="C16" i="4"/>
  <c r="C17" i="4"/>
  <c r="C13" i="3"/>
  <c r="C16" i="3"/>
  <c r="C6" i="3"/>
  <c r="C8" i="3"/>
  <c r="C14" i="3"/>
  <c r="C15" i="3"/>
  <c r="C17" i="3"/>
  <c r="C19" i="3"/>
  <c r="C9" i="3"/>
  <c r="C11" i="3"/>
  <c r="C18" i="3"/>
  <c r="C4" i="3"/>
  <c r="C20" i="3"/>
  <c r="C5" i="3"/>
  <c r="C7" i="3"/>
  <c r="C12" i="3"/>
  <c r="C7" i="2"/>
  <c r="C8" i="2"/>
  <c r="C9" i="2"/>
  <c r="C10" i="2"/>
  <c r="C11" i="2"/>
  <c r="C12" i="2"/>
  <c r="C14" i="2"/>
  <c r="C19" i="5" l="1"/>
  <c r="C6" i="2"/>
  <c r="C5" i="2"/>
  <c r="C4" i="2"/>
  <c r="C20" i="2"/>
  <c r="C18" i="5"/>
  <c r="C19" i="2"/>
  <c r="C17" i="5"/>
  <c r="C18" i="2"/>
  <c r="C16" i="5"/>
  <c r="C17" i="2"/>
  <c r="C15" i="5"/>
  <c r="C16" i="2"/>
  <c r="C13" i="5"/>
  <c r="C15" i="2"/>
  <c r="C12" i="5"/>
  <c r="C11" i="5"/>
  <c r="C9" i="5"/>
  <c r="C8" i="5"/>
  <c r="C6" i="5"/>
</calcChain>
</file>

<file path=xl/sharedStrings.xml><?xml version="1.0" encoding="utf-8"?>
<sst xmlns="http://schemas.openxmlformats.org/spreadsheetml/2006/main" count="88" uniqueCount="22">
  <si>
    <t>%</t>
  </si>
  <si>
    <t>CONTROLE - DISPÊNDIOS POR RECURSO</t>
  </si>
  <si>
    <t>PLANO DE TRABALHO CONSOLIDADO
EMPRESA</t>
  </si>
  <si>
    <t>DISPÊNDIOS</t>
  </si>
  <si>
    <t>VALOR (R$)</t>
  </si>
  <si>
    <t>I - programas de computador, máquinas, equipamentos, aparelhos e instrumentos, seus acessórios, sobressalentes e ferramentas, e serviços de instalação dessas máquinas e equipamentos utilizados na execução do projeto;</t>
  </si>
  <si>
    <t>II - aquisição, implantação, ampliação ou modernização de infraestrutura física e de laboratórios de pesquisa, desenvolvimento e inovação e de ICTs;</t>
  </si>
  <si>
    <t>III - RH direto</t>
  </si>
  <si>
    <t>III - RH indireto</t>
  </si>
  <si>
    <t>IV - Serviços Técnicos de Terceiros</t>
  </si>
  <si>
    <t>V - Mat. Consumo</t>
  </si>
  <si>
    <t>Total Dispêndios (I a V)</t>
  </si>
  <si>
    <t>VI - Outros dispêndios correlatos às atividades de pesquisa, desenvolvimento e inovação.</t>
  </si>
  <si>
    <t xml:space="preserve">Publicações e Treinamentos   </t>
  </si>
  <si>
    <t>Despesas de suporte operacional</t>
  </si>
  <si>
    <t>ISS</t>
  </si>
  <si>
    <t>Outros(Aluguel, Internet, Telefonia, Impostos Etc)</t>
  </si>
  <si>
    <t>Total Dispêndios (I a VI)</t>
  </si>
  <si>
    <t>DOA (Despesas operacionais e Administrativas)</t>
  </si>
  <si>
    <t>Constituição de Reserva</t>
  </si>
  <si>
    <t>TOTAL</t>
  </si>
  <si>
    <t>Tarifas Bancárias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</si>
</sst>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6"/>
      <color rgb="FF000000"/>
      <name val="Calibri"/>
    </font>
    <font>
      <b/>
      <sz val="14"/>
      <color rgb="FF000000"/>
      <name val="Arial"/>
    </font>
    <font>
      <b/>
      <sz val="15"/>
      <color rgb="FF000000"/>
      <name val="Calibri"/>
      <family val="2"/>
    </font>
    <font>
      <sz val="15"/>
      <color theme="1"/>
      <name val="Calibri"/>
    </font>
    <font>
      <sz val="15"/>
      <color rgb="FF000000"/>
      <name val="Calibri"/>
    </font>
    <font>
      <sz val="15"/>
      <color rgb="FF000000"/>
      <name val="Calibri"/>
      <family val="2"/>
    </font>
    <font>
      <b/>
      <i/>
      <sz val="15"/>
      <color rgb="FF000000"/>
      <name val="Calibri"/>
      <family val="2"/>
    </font>
    <font>
      <i/>
      <sz val="15"/>
      <color rgb="FF000000"/>
      <name val="Calibri"/>
    </font>
    <font>
      <b/>
      <sz val="15"/>
      <color rgb="FF000000"/>
      <name val="Calibri"/>
    </font>
    <font>
      <b/>
      <sz val="15"/>
      <color theme="0"/>
      <name val="Calibri"/>
    </font>
    <font>
      <b/>
      <sz val="15"/>
      <name val="Calibri"/>
      <family val="2"/>
    </font>
    <font>
      <sz val="15"/>
      <name val="Calibri"/>
      <family val="2"/>
    </font>
    <font>
      <i/>
      <sz val="1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10" fontId="6" fillId="0" borderId="4" xfId="2" applyNumberFormat="1" applyFont="1" applyBorder="1" applyAlignment="1">
      <alignment horizontal="center" vertical="center" wrapText="1"/>
    </xf>
    <xf numFmtId="10" fontId="7" fillId="0" borderId="4" xfId="2" applyNumberFormat="1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44" fontId="8" fillId="5" borderId="4" xfId="1" applyFont="1" applyFill="1" applyBorder="1" applyAlignment="1">
      <alignment horizontal="center" vertical="center" wrapText="1"/>
    </xf>
    <xf numFmtId="10" fontId="8" fillId="5" borderId="4" xfId="2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44" fontId="5" fillId="5" borderId="4" xfId="1" applyFont="1" applyFill="1" applyBorder="1" applyAlignment="1">
      <alignment horizontal="center" vertical="center" wrapText="1"/>
    </xf>
    <xf numFmtId="10" fontId="5" fillId="5" borderId="4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44" fontId="7" fillId="0" borderId="4" xfId="1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44" fontId="11" fillId="6" borderId="4" xfId="1" applyFont="1" applyFill="1" applyBorder="1" applyAlignment="1">
      <alignment horizontal="center" vertical="center" wrapText="1"/>
    </xf>
    <xf numFmtId="10" fontId="11" fillId="5" borderId="4" xfId="2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10" fontId="7" fillId="0" borderId="9" xfId="2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44" fontId="6" fillId="0" borderId="4" xfId="1" applyFont="1" applyBorder="1" applyAlignment="1">
      <alignment horizontal="center" vertical="center" wrapText="1"/>
    </xf>
    <xf numFmtId="44" fontId="6" fillId="7" borderId="4" xfId="1" applyFont="1" applyFill="1" applyBorder="1" applyAlignment="1">
      <alignment horizontal="center" wrapText="1"/>
    </xf>
    <xf numFmtId="44" fontId="6" fillId="7" borderId="8" xfId="1" applyFont="1" applyFill="1" applyBorder="1" applyAlignment="1">
      <alignment horizontal="center" wrapText="1"/>
    </xf>
    <xf numFmtId="0" fontId="12" fillId="2" borderId="10" xfId="0" applyFont="1" applyFill="1" applyBorder="1" applyAlignment="1">
      <alignment vertical="center" wrapText="1"/>
    </xf>
    <xf numFmtId="44" fontId="12" fillId="2" borderId="11" xfId="1" applyFont="1" applyFill="1" applyBorder="1" applyAlignment="1">
      <alignment horizontal="center" vertical="center" wrapText="1"/>
    </xf>
    <xf numFmtId="10" fontId="12" fillId="2" borderId="12" xfId="0" applyNumberFormat="1" applyFont="1" applyFill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10" fontId="14" fillId="0" borderId="4" xfId="2" applyNumberFormat="1" applyFont="1" applyBorder="1" applyAlignment="1">
      <alignment horizontal="center" vertical="center" wrapText="1"/>
    </xf>
    <xf numFmtId="44" fontId="14" fillId="0" borderId="4" xfId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398-7C78-44FC-8905-8384D3DB3DB5}">
  <dimension ref="A1:C20"/>
  <sheetViews>
    <sheetView showGridLines="0" workbookViewId="0">
      <selection activeCell="B15" sqref="B15"/>
    </sheetView>
  </sheetViews>
  <sheetFormatPr defaultColWidth="9" defaultRowHeight="15" x14ac:dyDescent="0.25"/>
  <cols>
    <col min="1" max="1" width="76.28515625" style="23" customWidth="1"/>
    <col min="2" max="2" width="26.7109375" style="23" bestFit="1" customWidth="1"/>
    <col min="3" max="3" width="11.28515625" style="23" bestFit="1" customWidth="1"/>
    <col min="4" max="16384" width="9" style="23"/>
  </cols>
  <sheetData>
    <row r="1" spans="1:3" ht="26.25" customHeight="1" x14ac:dyDescent="0.25">
      <c r="A1" s="20" t="s">
        <v>1</v>
      </c>
      <c r="B1" s="21"/>
      <c r="C1" s="22"/>
    </row>
    <row r="2" spans="1:3" x14ac:dyDescent="0.25">
      <c r="A2" s="1" t="s">
        <v>2</v>
      </c>
      <c r="B2" s="24"/>
      <c r="C2" s="25"/>
    </row>
    <row r="3" spans="1:3" ht="18" x14ac:dyDescent="0.25">
      <c r="A3" s="2" t="s">
        <v>3</v>
      </c>
      <c r="B3" s="2" t="s">
        <v>4</v>
      </c>
      <c r="C3" s="2" t="s">
        <v>0</v>
      </c>
    </row>
    <row r="4" spans="1:3" ht="78" x14ac:dyDescent="0.25">
      <c r="A4" s="3" t="s">
        <v>5</v>
      </c>
      <c r="B4" s="26">
        <v>0</v>
      </c>
      <c r="C4" s="4">
        <f>IF($B$20=0,0,B4/$B$20)</f>
        <v>0</v>
      </c>
    </row>
    <row r="5" spans="1:3" ht="58.5" x14ac:dyDescent="0.25">
      <c r="A5" s="3" t="s">
        <v>6</v>
      </c>
      <c r="B5" s="34">
        <v>0</v>
      </c>
      <c r="C5" s="33">
        <f t="shared" ref="C5:C20" si="0">IF($B$20=0,0,B5/$B$20)</f>
        <v>0</v>
      </c>
    </row>
    <row r="6" spans="1:3" ht="19.5" x14ac:dyDescent="0.25">
      <c r="A6" s="3" t="s">
        <v>7</v>
      </c>
      <c r="B6" s="34">
        <v>0</v>
      </c>
      <c r="C6" s="33">
        <f t="shared" si="0"/>
        <v>0</v>
      </c>
    </row>
    <row r="7" spans="1:3" ht="19.5" x14ac:dyDescent="0.25">
      <c r="A7" s="32" t="s">
        <v>8</v>
      </c>
      <c r="B7" s="34">
        <v>0</v>
      </c>
      <c r="C7" s="33">
        <f t="shared" si="0"/>
        <v>0</v>
      </c>
    </row>
    <row r="8" spans="1:3" ht="19.5" x14ac:dyDescent="0.25">
      <c r="A8" s="3" t="s">
        <v>9</v>
      </c>
      <c r="B8" s="34">
        <v>8937</v>
      </c>
      <c r="C8" s="33">
        <f t="shared" si="0"/>
        <v>8.1245454545454551E-2</v>
      </c>
    </row>
    <row r="9" spans="1:3" ht="19.5" x14ac:dyDescent="0.25">
      <c r="A9" s="3" t="s">
        <v>10</v>
      </c>
      <c r="B9" s="34">
        <v>0</v>
      </c>
      <c r="C9" s="33">
        <f t="shared" si="0"/>
        <v>0</v>
      </c>
    </row>
    <row r="10" spans="1:3" ht="19.5" x14ac:dyDescent="0.25">
      <c r="A10" s="6" t="s">
        <v>11</v>
      </c>
      <c r="B10" s="7">
        <f>SUM(B4:B9)</f>
        <v>8937</v>
      </c>
      <c r="C10" s="8">
        <f t="shared" si="0"/>
        <v>8.1245454545454551E-2</v>
      </c>
    </row>
    <row r="11" spans="1:3" ht="39" x14ac:dyDescent="0.25">
      <c r="A11" s="9" t="s">
        <v>12</v>
      </c>
      <c r="B11" s="10">
        <f>SUM(B12:B16)</f>
        <v>28800</v>
      </c>
      <c r="C11" s="11">
        <f t="shared" si="0"/>
        <v>0.26181818181818184</v>
      </c>
    </row>
    <row r="12" spans="1:3" ht="19.5" x14ac:dyDescent="0.25">
      <c r="A12" s="12" t="s">
        <v>13</v>
      </c>
      <c r="B12" s="13">
        <v>0</v>
      </c>
      <c r="C12" s="5">
        <f t="shared" si="0"/>
        <v>0</v>
      </c>
    </row>
    <row r="13" spans="1:3" ht="19.5" x14ac:dyDescent="0.25">
      <c r="A13" s="35" t="s">
        <v>14</v>
      </c>
      <c r="B13" s="34">
        <v>22400</v>
      </c>
      <c r="C13" s="5">
        <f t="shared" si="0"/>
        <v>0.20363636363636364</v>
      </c>
    </row>
    <row r="14" spans="1:3" ht="19.5" x14ac:dyDescent="0.25">
      <c r="A14" s="35" t="s">
        <v>21</v>
      </c>
      <c r="B14" s="34">
        <v>0</v>
      </c>
      <c r="C14" s="33">
        <f t="shared" si="0"/>
        <v>0</v>
      </c>
    </row>
    <row r="15" spans="1:3" ht="19.5" x14ac:dyDescent="0.25">
      <c r="A15" s="12" t="s">
        <v>15</v>
      </c>
      <c r="B15" s="26">
        <v>5500</v>
      </c>
      <c r="C15" s="5">
        <f t="shared" si="0"/>
        <v>0.05</v>
      </c>
    </row>
    <row r="16" spans="1:3" ht="19.5" x14ac:dyDescent="0.25">
      <c r="A16" s="14" t="s">
        <v>16</v>
      </c>
      <c r="B16" s="26">
        <v>900</v>
      </c>
      <c r="C16" s="5">
        <f t="shared" si="0"/>
        <v>8.1818181818181825E-3</v>
      </c>
    </row>
    <row r="17" spans="1:3" ht="19.5" x14ac:dyDescent="0.25">
      <c r="A17" s="6" t="s">
        <v>17</v>
      </c>
      <c r="B17" s="15">
        <f>B11+B10</f>
        <v>37737</v>
      </c>
      <c r="C17" s="16">
        <f t="shared" si="0"/>
        <v>0.34306363636363635</v>
      </c>
    </row>
    <row r="18" spans="1:3" ht="19.5" x14ac:dyDescent="0.3">
      <c r="A18" s="17" t="s">
        <v>18</v>
      </c>
      <c r="B18" s="27">
        <v>60883</v>
      </c>
      <c r="C18" s="5">
        <f t="shared" si="0"/>
        <v>0.55348181818181819</v>
      </c>
    </row>
    <row r="19" spans="1:3" ht="20.25" thickBot="1" x14ac:dyDescent="0.35">
      <c r="A19" s="18" t="s">
        <v>19</v>
      </c>
      <c r="B19" s="28">
        <v>11380</v>
      </c>
      <c r="C19" s="19">
        <f t="shared" si="0"/>
        <v>0.10345454545454545</v>
      </c>
    </row>
    <row r="20" spans="1:3" ht="20.25" thickBot="1" x14ac:dyDescent="0.3">
      <c r="A20" s="29" t="s">
        <v>20</v>
      </c>
      <c r="B20" s="30">
        <f>B17+B18+B19</f>
        <v>110000</v>
      </c>
      <c r="C20" s="31">
        <f t="shared" si="0"/>
        <v>1</v>
      </c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39D-E5B5-404C-8B77-B710A11F4498}">
  <dimension ref="A1:C20"/>
  <sheetViews>
    <sheetView showGridLines="0" workbookViewId="0">
      <selection activeCell="B14" sqref="B14"/>
    </sheetView>
  </sheetViews>
  <sheetFormatPr defaultColWidth="9" defaultRowHeight="15" x14ac:dyDescent="0.25"/>
  <cols>
    <col min="1" max="1" width="76.28515625" style="23" customWidth="1"/>
    <col min="2" max="2" width="26.7109375" style="23" bestFit="1" customWidth="1"/>
    <col min="3" max="3" width="11.28515625" style="23" bestFit="1" customWidth="1"/>
    <col min="4" max="16384" width="9" style="23"/>
  </cols>
  <sheetData>
    <row r="1" spans="1:3" ht="26.25" customHeight="1" x14ac:dyDescent="0.25">
      <c r="A1" s="20" t="s">
        <v>1</v>
      </c>
      <c r="B1" s="21"/>
      <c r="C1" s="22"/>
    </row>
    <row r="2" spans="1:3" x14ac:dyDescent="0.25">
      <c r="A2" s="1" t="s">
        <v>2</v>
      </c>
      <c r="B2" s="24"/>
      <c r="C2" s="25"/>
    </row>
    <row r="3" spans="1:3" ht="18" x14ac:dyDescent="0.25">
      <c r="A3" s="2" t="s">
        <v>3</v>
      </c>
      <c r="B3" s="2" t="s">
        <v>4</v>
      </c>
      <c r="C3" s="2" t="s">
        <v>0</v>
      </c>
    </row>
    <row r="4" spans="1:3" ht="78" x14ac:dyDescent="0.25">
      <c r="A4" s="3" t="s">
        <v>5</v>
      </c>
      <c r="B4" s="26">
        <v>0</v>
      </c>
      <c r="C4" s="4">
        <f>IF($B$20=0,0,B4/$B$20)</f>
        <v>0</v>
      </c>
    </row>
    <row r="5" spans="1:3" ht="58.5" x14ac:dyDescent="0.25">
      <c r="A5" s="3" t="s">
        <v>6</v>
      </c>
      <c r="B5" s="34">
        <v>0</v>
      </c>
      <c r="C5" s="33">
        <f t="shared" ref="C5:C20" si="0">IF($B$20=0,0,B5/$B$20)</f>
        <v>0</v>
      </c>
    </row>
    <row r="6" spans="1:3" ht="19.5" x14ac:dyDescent="0.25">
      <c r="A6" s="3" t="s">
        <v>7</v>
      </c>
      <c r="B6" s="34">
        <v>309000</v>
      </c>
      <c r="C6" s="33">
        <f t="shared" si="0"/>
        <v>1</v>
      </c>
    </row>
    <row r="7" spans="1:3" ht="19.5" x14ac:dyDescent="0.25">
      <c r="A7" s="32" t="s">
        <v>8</v>
      </c>
      <c r="B7" s="34">
        <v>0</v>
      </c>
      <c r="C7" s="33">
        <f t="shared" si="0"/>
        <v>0</v>
      </c>
    </row>
    <row r="8" spans="1:3" ht="19.5" x14ac:dyDescent="0.25">
      <c r="A8" s="3" t="s">
        <v>9</v>
      </c>
      <c r="B8" s="34">
        <v>0</v>
      </c>
      <c r="C8" s="33">
        <f t="shared" si="0"/>
        <v>0</v>
      </c>
    </row>
    <row r="9" spans="1:3" ht="19.5" x14ac:dyDescent="0.25">
      <c r="A9" s="3" t="s">
        <v>10</v>
      </c>
      <c r="B9" s="34">
        <v>0</v>
      </c>
      <c r="C9" s="33">
        <f t="shared" si="0"/>
        <v>0</v>
      </c>
    </row>
    <row r="10" spans="1:3" ht="19.5" x14ac:dyDescent="0.25">
      <c r="A10" s="6" t="s">
        <v>11</v>
      </c>
      <c r="B10" s="7">
        <f>SUM(B4:B9)</f>
        <v>309000</v>
      </c>
      <c r="C10" s="8">
        <f t="shared" si="0"/>
        <v>1</v>
      </c>
    </row>
    <row r="11" spans="1:3" ht="39" x14ac:dyDescent="0.25">
      <c r="A11" s="9" t="s">
        <v>12</v>
      </c>
      <c r="B11" s="10">
        <f>SUM(B12:B16)</f>
        <v>0</v>
      </c>
      <c r="C11" s="11">
        <f t="shared" si="0"/>
        <v>0</v>
      </c>
    </row>
    <row r="12" spans="1:3" ht="19.5" x14ac:dyDescent="0.25">
      <c r="A12" s="12" t="s">
        <v>13</v>
      </c>
      <c r="B12" s="13">
        <v>0</v>
      </c>
      <c r="C12" s="5">
        <f t="shared" si="0"/>
        <v>0</v>
      </c>
    </row>
    <row r="13" spans="1:3" ht="19.5" x14ac:dyDescent="0.25">
      <c r="A13" s="35" t="s">
        <v>14</v>
      </c>
      <c r="B13" s="13">
        <v>0</v>
      </c>
      <c r="C13" s="5">
        <f t="shared" si="0"/>
        <v>0</v>
      </c>
    </row>
    <row r="14" spans="1:3" ht="19.5" x14ac:dyDescent="0.25">
      <c r="A14" s="35" t="s">
        <v>21</v>
      </c>
      <c r="B14" s="34">
        <v>0</v>
      </c>
      <c r="C14" s="33">
        <f t="shared" si="0"/>
        <v>0</v>
      </c>
    </row>
    <row r="15" spans="1:3" ht="19.5" x14ac:dyDescent="0.25">
      <c r="A15" s="12" t="s">
        <v>15</v>
      </c>
      <c r="B15" s="26">
        <v>0</v>
      </c>
      <c r="C15" s="5">
        <f t="shared" si="0"/>
        <v>0</v>
      </c>
    </row>
    <row r="16" spans="1:3" ht="19.5" x14ac:dyDescent="0.25">
      <c r="A16" s="14" t="s">
        <v>16</v>
      </c>
      <c r="B16" s="26">
        <v>0</v>
      </c>
      <c r="C16" s="5">
        <f t="shared" si="0"/>
        <v>0</v>
      </c>
    </row>
    <row r="17" spans="1:3" ht="19.5" x14ac:dyDescent="0.25">
      <c r="A17" s="6" t="s">
        <v>17</v>
      </c>
      <c r="B17" s="15">
        <f>B11+B10</f>
        <v>309000</v>
      </c>
      <c r="C17" s="16">
        <f t="shared" si="0"/>
        <v>1</v>
      </c>
    </row>
    <row r="18" spans="1:3" ht="19.5" x14ac:dyDescent="0.3">
      <c r="A18" s="17" t="s">
        <v>18</v>
      </c>
      <c r="B18" s="27">
        <v>0</v>
      </c>
      <c r="C18" s="5">
        <f t="shared" si="0"/>
        <v>0</v>
      </c>
    </row>
    <row r="19" spans="1:3" ht="20.25" thickBot="1" x14ac:dyDescent="0.35">
      <c r="A19" s="18" t="s">
        <v>19</v>
      </c>
      <c r="B19" s="28">
        <v>0</v>
      </c>
      <c r="C19" s="19">
        <f t="shared" si="0"/>
        <v>0</v>
      </c>
    </row>
    <row r="20" spans="1:3" ht="20.25" thickBot="1" x14ac:dyDescent="0.3">
      <c r="A20" s="29" t="s">
        <v>20</v>
      </c>
      <c r="B20" s="30">
        <f>B17+B18+B19</f>
        <v>309000</v>
      </c>
      <c r="C20" s="31">
        <f t="shared" si="0"/>
        <v>1</v>
      </c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AFFE-8791-4EEB-BDEC-655DC70082E9}">
  <dimension ref="A1:C20"/>
  <sheetViews>
    <sheetView showGridLines="0" workbookViewId="0">
      <selection activeCell="B15" sqref="B15"/>
    </sheetView>
  </sheetViews>
  <sheetFormatPr defaultColWidth="9" defaultRowHeight="15" x14ac:dyDescent="0.25"/>
  <cols>
    <col min="1" max="1" width="76.28515625" style="23" customWidth="1"/>
    <col min="2" max="2" width="26.7109375" style="23" bestFit="1" customWidth="1"/>
    <col min="3" max="3" width="11.28515625" style="23" bestFit="1" customWidth="1"/>
    <col min="4" max="16384" width="9" style="23"/>
  </cols>
  <sheetData>
    <row r="1" spans="1:3" ht="26.25" customHeight="1" x14ac:dyDescent="0.25">
      <c r="A1" s="20" t="s">
        <v>1</v>
      </c>
      <c r="B1" s="21"/>
      <c r="C1" s="22"/>
    </row>
    <row r="2" spans="1:3" x14ac:dyDescent="0.25">
      <c r="A2" s="1" t="s">
        <v>2</v>
      </c>
      <c r="B2" s="24"/>
      <c r="C2" s="25"/>
    </row>
    <row r="3" spans="1:3" ht="18" x14ac:dyDescent="0.25">
      <c r="A3" s="2" t="s">
        <v>3</v>
      </c>
      <c r="B3" s="2" t="s">
        <v>4</v>
      </c>
      <c r="C3" s="2" t="s">
        <v>0</v>
      </c>
    </row>
    <row r="4" spans="1:3" ht="78" x14ac:dyDescent="0.25">
      <c r="A4" s="3" t="s">
        <v>5</v>
      </c>
      <c r="B4" s="26">
        <v>0</v>
      </c>
      <c r="C4" s="4">
        <f>IF($B$20=0,0,B4/$B$20)</f>
        <v>0</v>
      </c>
    </row>
    <row r="5" spans="1:3" ht="58.5" x14ac:dyDescent="0.25">
      <c r="A5" s="3" t="s">
        <v>6</v>
      </c>
      <c r="B5" s="34">
        <v>0</v>
      </c>
      <c r="C5" s="33">
        <f t="shared" ref="C5:C20" si="0">IF($B$20=0,0,B5/$B$20)</f>
        <v>0</v>
      </c>
    </row>
    <row r="6" spans="1:3" ht="19.5" x14ac:dyDescent="0.25">
      <c r="A6" s="3" t="s">
        <v>7</v>
      </c>
      <c r="B6" s="34">
        <v>149000</v>
      </c>
      <c r="C6" s="33">
        <f t="shared" si="0"/>
        <v>0.99333333333333329</v>
      </c>
    </row>
    <row r="7" spans="1:3" ht="19.5" x14ac:dyDescent="0.25">
      <c r="A7" s="32" t="s">
        <v>8</v>
      </c>
      <c r="B7" s="34">
        <v>0</v>
      </c>
      <c r="C7" s="33">
        <f t="shared" si="0"/>
        <v>0</v>
      </c>
    </row>
    <row r="8" spans="1:3" ht="19.5" x14ac:dyDescent="0.25">
      <c r="A8" s="3" t="s">
        <v>9</v>
      </c>
      <c r="B8" s="34">
        <v>0</v>
      </c>
      <c r="C8" s="33">
        <f t="shared" si="0"/>
        <v>0</v>
      </c>
    </row>
    <row r="9" spans="1:3" ht="19.5" x14ac:dyDescent="0.25">
      <c r="A9" s="3" t="s">
        <v>10</v>
      </c>
      <c r="B9" s="34">
        <v>0</v>
      </c>
      <c r="C9" s="33">
        <f t="shared" si="0"/>
        <v>0</v>
      </c>
    </row>
    <row r="10" spans="1:3" ht="19.5" x14ac:dyDescent="0.25">
      <c r="A10" s="6" t="s">
        <v>11</v>
      </c>
      <c r="B10" s="7">
        <f>SUM(B4:B9)</f>
        <v>149000</v>
      </c>
      <c r="C10" s="8">
        <f t="shared" si="0"/>
        <v>0.99333333333333329</v>
      </c>
    </row>
    <row r="11" spans="1:3" ht="39" x14ac:dyDescent="0.25">
      <c r="A11" s="9" t="s">
        <v>12</v>
      </c>
      <c r="B11" s="10">
        <f>SUM(B12:B16)</f>
        <v>1000</v>
      </c>
      <c r="C11" s="11">
        <f t="shared" si="0"/>
        <v>6.6666666666666671E-3</v>
      </c>
    </row>
    <row r="12" spans="1:3" ht="19.5" x14ac:dyDescent="0.25">
      <c r="A12" s="12" t="s">
        <v>13</v>
      </c>
      <c r="B12" s="13">
        <v>0</v>
      </c>
      <c r="C12" s="5">
        <f t="shared" si="0"/>
        <v>0</v>
      </c>
    </row>
    <row r="13" spans="1:3" ht="19.5" x14ac:dyDescent="0.25">
      <c r="A13" s="35" t="s">
        <v>14</v>
      </c>
      <c r="B13" s="13">
        <v>0</v>
      </c>
      <c r="C13" s="5">
        <f t="shared" si="0"/>
        <v>0</v>
      </c>
    </row>
    <row r="14" spans="1:3" ht="19.5" x14ac:dyDescent="0.25">
      <c r="A14" s="35" t="s">
        <v>21</v>
      </c>
      <c r="B14" s="34">
        <v>1000</v>
      </c>
      <c r="C14" s="33">
        <f t="shared" si="0"/>
        <v>6.6666666666666671E-3</v>
      </c>
    </row>
    <row r="15" spans="1:3" ht="19.5" x14ac:dyDescent="0.25">
      <c r="A15" s="12" t="s">
        <v>15</v>
      </c>
      <c r="B15" s="26">
        <v>0</v>
      </c>
      <c r="C15" s="5">
        <f t="shared" si="0"/>
        <v>0</v>
      </c>
    </row>
    <row r="16" spans="1:3" ht="19.5" x14ac:dyDescent="0.25">
      <c r="A16" s="14" t="s">
        <v>16</v>
      </c>
      <c r="B16" s="26">
        <v>0</v>
      </c>
      <c r="C16" s="5">
        <f t="shared" si="0"/>
        <v>0</v>
      </c>
    </row>
    <row r="17" spans="1:3" ht="19.5" x14ac:dyDescent="0.25">
      <c r="A17" s="6" t="s">
        <v>17</v>
      </c>
      <c r="B17" s="15">
        <f>B11+B10</f>
        <v>150000</v>
      </c>
      <c r="C17" s="16">
        <f t="shared" si="0"/>
        <v>1</v>
      </c>
    </row>
    <row r="18" spans="1:3" ht="19.5" x14ac:dyDescent="0.3">
      <c r="A18" s="17" t="s">
        <v>18</v>
      </c>
      <c r="B18" s="27">
        <v>0</v>
      </c>
      <c r="C18" s="5">
        <f t="shared" si="0"/>
        <v>0</v>
      </c>
    </row>
    <row r="19" spans="1:3" ht="20.25" thickBot="1" x14ac:dyDescent="0.35">
      <c r="A19" s="18" t="s">
        <v>19</v>
      </c>
      <c r="B19" s="28">
        <v>0</v>
      </c>
      <c r="C19" s="19">
        <f t="shared" si="0"/>
        <v>0</v>
      </c>
    </row>
    <row r="20" spans="1:3" ht="20.25" thickBot="1" x14ac:dyDescent="0.3">
      <c r="A20" s="29" t="s">
        <v>20</v>
      </c>
      <c r="B20" s="30">
        <f>B17+B18+B19</f>
        <v>150000</v>
      </c>
      <c r="C20" s="31">
        <f t="shared" si="0"/>
        <v>1</v>
      </c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4A32-B49F-4961-8822-8E7EDDA2B2AC}">
  <dimension ref="A1:C20"/>
  <sheetViews>
    <sheetView showGridLines="0" tabSelected="1" workbookViewId="0">
      <selection activeCell="B14" sqref="B14"/>
    </sheetView>
  </sheetViews>
  <sheetFormatPr defaultColWidth="9" defaultRowHeight="15" x14ac:dyDescent="0.25"/>
  <cols>
    <col min="1" max="1" width="76.28515625" style="23" customWidth="1"/>
    <col min="2" max="2" width="26.7109375" style="23" bestFit="1" customWidth="1"/>
    <col min="3" max="3" width="11.28515625" style="23" bestFit="1" customWidth="1"/>
    <col min="4" max="16384" width="9" style="23"/>
  </cols>
  <sheetData>
    <row r="1" spans="1:3" ht="26.25" customHeight="1" x14ac:dyDescent="0.25">
      <c r="A1" s="20" t="s">
        <v>1</v>
      </c>
      <c r="B1" s="21"/>
      <c r="C1" s="22"/>
    </row>
    <row r="2" spans="1:3" x14ac:dyDescent="0.25">
      <c r="A2" s="1" t="s">
        <v>2</v>
      </c>
      <c r="B2" s="24"/>
      <c r="C2" s="25"/>
    </row>
    <row r="3" spans="1:3" ht="18" x14ac:dyDescent="0.25">
      <c r="A3" s="2" t="s">
        <v>3</v>
      </c>
      <c r="B3" s="2" t="s">
        <v>4</v>
      </c>
      <c r="C3" s="2" t="s">
        <v>0</v>
      </c>
    </row>
    <row r="4" spans="1:3" ht="78" x14ac:dyDescent="0.25">
      <c r="A4" s="3" t="s">
        <v>5</v>
      </c>
      <c r="B4" s="26">
        <f>orcamento_empresa!B4+orcamento_embrabii!B4+orcamento_sebrae!B4</f>
        <v>0</v>
      </c>
      <c r="C4" s="4">
        <f>IF($B$20=0,0,B4/$B$20)</f>
        <v>0</v>
      </c>
    </row>
    <row r="5" spans="1:3" ht="58.5" x14ac:dyDescent="0.25">
      <c r="A5" s="3" t="s">
        <v>6</v>
      </c>
      <c r="B5" s="34">
        <f>orcamento_empresa!B5+orcamento_embrabii!B5+orcamento_sebrae!B5</f>
        <v>0</v>
      </c>
      <c r="C5" s="33">
        <f t="shared" ref="C5:C20" si="0">IF($B$20=0,0,B5/$B$20)</f>
        <v>0</v>
      </c>
    </row>
    <row r="6" spans="1:3" ht="19.5" x14ac:dyDescent="0.25">
      <c r="A6" s="3" t="s">
        <v>7</v>
      </c>
      <c r="B6" s="34">
        <f>orcamento_empresa!B6+orcamento_embrabii!B6+orcamento_sebrae!B6</f>
        <v>458000</v>
      </c>
      <c r="C6" s="33">
        <f t="shared" si="0"/>
        <v>0.80492091388400699</v>
      </c>
    </row>
    <row r="7" spans="1:3" ht="19.5" x14ac:dyDescent="0.25">
      <c r="A7" s="32" t="s">
        <v>8</v>
      </c>
      <c r="B7" s="34">
        <f>orcamento_empresa!B7+orcamento_embrabii!B7+orcamento_sebrae!B7</f>
        <v>0</v>
      </c>
      <c r="C7" s="33">
        <f t="shared" si="0"/>
        <v>0</v>
      </c>
    </row>
    <row r="8" spans="1:3" ht="19.5" x14ac:dyDescent="0.25">
      <c r="A8" s="3" t="s">
        <v>9</v>
      </c>
      <c r="B8" s="34">
        <f>orcamento_empresa!B8+orcamento_embrabii!B8+orcamento_sebrae!B8</f>
        <v>8937</v>
      </c>
      <c r="C8" s="33">
        <f t="shared" si="0"/>
        <v>1.5706502636203868E-2</v>
      </c>
    </row>
    <row r="9" spans="1:3" ht="19.5" x14ac:dyDescent="0.25">
      <c r="A9" s="3" t="s">
        <v>10</v>
      </c>
      <c r="B9" s="34">
        <f>orcamento_empresa!B9+orcamento_embrabii!B9+orcamento_sebrae!B9</f>
        <v>0</v>
      </c>
      <c r="C9" s="33">
        <f t="shared" si="0"/>
        <v>0</v>
      </c>
    </row>
    <row r="10" spans="1:3" ht="19.5" x14ac:dyDescent="0.25">
      <c r="A10" s="6" t="s">
        <v>11</v>
      </c>
      <c r="B10" s="7">
        <f>orcamento_empresa!B10+orcamento_embrabii!B10+orcamento_sebrae!B10</f>
        <v>466937</v>
      </c>
      <c r="C10" s="8">
        <f t="shared" si="0"/>
        <v>0.82062741652021087</v>
      </c>
    </row>
    <row r="11" spans="1:3" ht="39" x14ac:dyDescent="0.25">
      <c r="A11" s="9" t="s">
        <v>12</v>
      </c>
      <c r="B11" s="10">
        <f>orcamento_empresa!B11+orcamento_embrabii!B11+orcamento_sebrae!B11</f>
        <v>29800</v>
      </c>
      <c r="C11" s="11">
        <f t="shared" si="0"/>
        <v>5.2372583479789105E-2</v>
      </c>
    </row>
    <row r="12" spans="1:3" ht="19.5" x14ac:dyDescent="0.25">
      <c r="A12" s="12" t="s">
        <v>13</v>
      </c>
      <c r="B12" s="13">
        <f>orcamento_empresa!B12+orcamento_embrabii!B12+orcamento_sebrae!B12</f>
        <v>0</v>
      </c>
      <c r="C12" s="5">
        <f t="shared" si="0"/>
        <v>0</v>
      </c>
    </row>
    <row r="13" spans="1:3" ht="19.5" x14ac:dyDescent="0.25">
      <c r="A13" s="35" t="s">
        <v>14</v>
      </c>
      <c r="B13" s="13">
        <f>orcamento_empresa!B13+orcamento_embrabii!B13+orcamento_sebrae!B13</f>
        <v>22400</v>
      </c>
      <c r="C13" s="5">
        <f t="shared" si="0"/>
        <v>3.9367311072056238E-2</v>
      </c>
    </row>
    <row r="14" spans="1:3" ht="19.5" x14ac:dyDescent="0.25">
      <c r="A14" s="35" t="s">
        <v>21</v>
      </c>
      <c r="B14" s="34">
        <f>orcamento_empresa!B14+orcamento_embrabii!B14+orcamento_sebrae!B14</f>
        <v>1000</v>
      </c>
      <c r="C14" s="33">
        <f t="shared" si="0"/>
        <v>1.7574692442882249E-3</v>
      </c>
    </row>
    <row r="15" spans="1:3" ht="19.5" x14ac:dyDescent="0.25">
      <c r="A15" s="12" t="s">
        <v>15</v>
      </c>
      <c r="B15" s="26">
        <f>orcamento_empresa!B15+orcamento_embrabii!B15+orcamento_sebrae!B15</f>
        <v>5500</v>
      </c>
      <c r="C15" s="5">
        <f t="shared" si="0"/>
        <v>9.6660808435852369E-3</v>
      </c>
    </row>
    <row r="16" spans="1:3" ht="19.5" x14ac:dyDescent="0.25">
      <c r="A16" s="14" t="s">
        <v>16</v>
      </c>
      <c r="B16" s="26">
        <f>orcamento_empresa!B16+orcamento_embrabii!B16+orcamento_sebrae!B16</f>
        <v>900</v>
      </c>
      <c r="C16" s="5">
        <f t="shared" si="0"/>
        <v>1.5817223198594025E-3</v>
      </c>
    </row>
    <row r="17" spans="1:3" ht="19.5" x14ac:dyDescent="0.25">
      <c r="A17" s="6" t="s">
        <v>17</v>
      </c>
      <c r="B17" s="15">
        <f>orcamento_empresa!B17+orcamento_embrabii!B17+orcamento_sebrae!B17</f>
        <v>496737</v>
      </c>
      <c r="C17" s="16">
        <f t="shared" si="0"/>
        <v>0.873</v>
      </c>
    </row>
    <row r="18" spans="1:3" ht="19.5" x14ac:dyDescent="0.3">
      <c r="A18" s="17" t="s">
        <v>18</v>
      </c>
      <c r="B18" s="27">
        <f>orcamento_empresa!B18+orcamento_embrabii!B18+orcamento_sebrae!B18</f>
        <v>60883</v>
      </c>
      <c r="C18" s="5">
        <f t="shared" si="0"/>
        <v>0.107</v>
      </c>
    </row>
    <row r="19" spans="1:3" ht="20.25" thickBot="1" x14ac:dyDescent="0.35">
      <c r="A19" s="18" t="s">
        <v>19</v>
      </c>
      <c r="B19" s="28">
        <f>orcamento_empresa!B19+orcamento_embrabii!B19+orcamento_sebrae!B19</f>
        <v>11380</v>
      </c>
      <c r="C19" s="19">
        <f t="shared" si="0"/>
        <v>0.02</v>
      </c>
    </row>
    <row r="20" spans="1:3" ht="20.25" thickBot="1" x14ac:dyDescent="0.3">
      <c r="A20" s="29" t="s">
        <v>20</v>
      </c>
      <c r="B20" s="30">
        <f>B17+B18+B19</f>
        <v>569000</v>
      </c>
      <c r="C20" s="31">
        <f t="shared" si="0"/>
        <v>1</v>
      </c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orcamento_empresa</vt:lpstr>
      <vt:lpstr>orcamento_embrabii</vt:lpstr>
      <vt:lpstr>orcamento_sebrae</vt:lpstr>
      <vt:lpstr>orcamento_biocaroco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INOVA</dc:creator>
  <cp:lastModifiedBy>Geziel Sena Colares</cp:lastModifiedBy>
  <dcterms:created xsi:type="dcterms:W3CDTF">2015-06-05T18:19:34Z</dcterms:created>
  <dcterms:modified xsi:type="dcterms:W3CDTF">2026-10-06T22:06:05Z</dcterms:modified>
</cp:coreProperties>
</file>