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pivotCache/pivotCacheRecords1.xml" ContentType="application/vnd.openxmlformats-officedocument.spreadsheetml.pivotCacheRecords+xml"/>
  <Override PartName="/xl/pivotCache/pivotCacheDefinition1.xml" ContentType="application/vnd.openxmlformats-officedocument.spreadsheetml.pivotCacheDefinition+xml"/>
  <Override PartName="/xl/pivotTables/pivotTable1.xml" ContentType="application/vnd.openxmlformats-officedocument.spreadsheetml.pivotTable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1" autoFilterDateGrouping="1"/>
  </bookViews>
  <sheets>
    <sheet xmlns:r="http://schemas.openxmlformats.org/officeDocument/2006/relationships" name="extrato_bancario" sheetId="1" state="visible" r:id="rId1"/>
    <sheet xmlns:r="http://schemas.openxmlformats.org/officeDocument/2006/relationships" name="dinamic" sheetId="2" state="visible" r:id="rId2"/>
    <sheet xmlns:r="http://schemas.openxmlformats.org/officeDocument/2006/relationships" name="graficos" sheetId="3" state="visible" r:id="rId3"/>
  </sheets>
  <definedNames>
    <definedName name="_xlnm._FilterDatabase" localSheetId="0" hidden="1">'extrato_bancario'!$A$1:$J$120</definedName>
  </definedNames>
  <calcPr calcId="191029" fullCalcOnLoad="1"/>
  <pivotCaches>
    <pivotCache xmlns:r="http://schemas.openxmlformats.org/officeDocument/2006/relationships" cacheId="7" r:id="rId4"/>
  </pivotCaches>
</workbook>
</file>

<file path=xl/styles.xml><?xml version="1.0" encoding="utf-8"?>
<styleSheet xmlns="http://schemas.openxmlformats.org/spreadsheetml/2006/main">
  <numFmts count="3">
    <numFmt numFmtId="164" formatCode="_-&quot;R$&quot;* #,##0.00_-;\-&quot;R$&quot;* #,##0.00_-;_-&quot;R$&quot;* &quot;-&quot;??_-;_-@_-"/>
    <numFmt numFmtId="165" formatCode="_-&quot;R$&quot;\ * #,##0.00_-;\-&quot;R$&quot;\ * #,##0.00_-;_-&quot;R$&quot;\ * &quot;-&quot;??_-;_-@_-"/>
    <numFmt numFmtId="166" formatCode="mmmm"/>
  </numFmts>
  <fonts count="7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sz val="11"/>
    </font>
    <font>
      <name val="Aptos Narrow"/>
      <b val="1"/>
      <color rgb="FF1F4E79"/>
      <sz val="16"/>
    </font>
    <font>
      <name val="Aptos Narrow"/>
      <i val="1"/>
      <color rgb="FF595959"/>
      <sz val="11"/>
    </font>
    <font>
      <name val="Aptos Narrow"/>
      <b val="1"/>
      <color rgb="FFFFFFFF"/>
      <sz val="11"/>
    </font>
    <font>
      <name val="Aptos Narrow"/>
      <b val="1"/>
      <sz val="11"/>
    </font>
  </fonts>
  <fills count="7">
    <fill>
      <patternFill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2F5597"/>
        <bgColor rgb="FF2F5597"/>
      </patternFill>
    </fill>
    <fill>
      <patternFill patternType="solid">
        <fgColor rgb="FFF8F9FA"/>
        <bgColor rgb="FFF8F9FA"/>
      </patternFill>
    </fill>
    <fill>
      <patternFill patternType="solid">
        <fgColor rgb="FFE9ECEF"/>
        <bgColor rgb="FFE9ECEF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000000"/>
      </top>
      <bottom style="double">
        <color rgb="FF000000"/>
      </bottom>
      <diagonal/>
    </border>
    <border>
      <left style="thin">
        <color rgb="FFD9D9D9"/>
      </left>
      <right/>
      <top style="thin">
        <color rgb="FFD9D9D9"/>
      </top>
      <bottom style="thin">
        <color rgb="FFD9D9D9"/>
      </bottom>
      <diagonal/>
    </border>
    <border>
      <left/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D9D9D9"/>
      </top>
      <bottom/>
      <diagonal/>
    </border>
    <border>
      <left/>
      <right style="thin">
        <color rgb="FFD9D9D9"/>
      </right>
      <top style="thin">
        <color rgb="FFD9D9D9"/>
      </top>
      <bottom/>
      <diagonal/>
    </border>
  </borders>
  <cellStyleXfs count="2">
    <xf numFmtId="0" fontId="1" fillId="0" borderId="0"/>
    <xf numFmtId="44" fontId="1" fillId="0" borderId="0"/>
  </cellStyleXfs>
  <cellXfs count="58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14" fontId="0" fillId="0" borderId="0" applyAlignment="1" pivotButton="0" quotePrefix="0" xfId="0">
      <alignment horizontal="center" vertical="center" wrapText="1"/>
    </xf>
    <xf numFmtId="14" fontId="0" fillId="0" borderId="1" applyAlignment="1" pivotButton="0" quotePrefix="0" xfId="0">
      <alignment horizontal="center" vertical="center" wrapText="1"/>
    </xf>
    <xf numFmtId="49" fontId="0" fillId="0" borderId="0" applyAlignment="1" pivotButton="0" quotePrefix="0" xfId="0">
      <alignment horizontal="center" vertical="center" wrapText="1"/>
    </xf>
    <xf numFmtId="49" fontId="0" fillId="0" borderId="2" applyAlignment="1" pivotButton="0" quotePrefix="0" xfId="0">
      <alignment horizontal="center" vertical="center" wrapText="1"/>
    </xf>
    <xf numFmtId="49" fontId="0" fillId="0" borderId="0" applyAlignment="1" pivotButton="0" quotePrefix="0" xfId="0">
      <alignment horizontal="left" vertical="center" wrapText="1"/>
    </xf>
    <xf numFmtId="14" fontId="0" fillId="0" borderId="2" applyAlignment="1" pivotButton="0" quotePrefix="0" xfId="0">
      <alignment horizontal="center" vertical="center" wrapText="1"/>
    </xf>
    <xf numFmtId="49" fontId="0" fillId="0" borderId="1" applyAlignment="1" pivotButton="0" quotePrefix="0" xfId="0">
      <alignment horizontal="center" vertical="center" wrapText="1"/>
    </xf>
    <xf numFmtId="14" fontId="2" fillId="0" borderId="1" applyAlignment="1" pivotButton="0" quotePrefix="0" xfId="0">
      <alignment horizontal="center" vertical="center"/>
    </xf>
    <xf numFmtId="49" fontId="2" fillId="0" borderId="1" applyAlignment="1" pivotButton="0" quotePrefix="0" xfId="0">
      <alignment horizontal="center" vertical="center"/>
    </xf>
    <xf numFmtId="49" fontId="2" fillId="0" borderId="1" applyAlignment="1" pivotButton="0" quotePrefix="0" xfId="0">
      <alignment horizontal="left" vertical="center"/>
    </xf>
    <xf numFmtId="164" fontId="2" fillId="0" borderId="1" applyAlignment="1" pivotButton="0" quotePrefix="0" xfId="1">
      <alignment horizontal="center" vertical="center"/>
    </xf>
    <xf numFmtId="49" fontId="2" fillId="0" borderId="2" applyAlignment="1" pivotButton="0" quotePrefix="0" xfId="0">
      <alignment horizontal="center" vertical="center" wrapText="1"/>
    </xf>
    <xf numFmtId="49" fontId="2" fillId="0" borderId="1" applyAlignment="1" pivotButton="0" quotePrefix="0" xfId="0">
      <alignment horizontal="center" vertical="center" wrapText="1"/>
    </xf>
    <xf numFmtId="164" fontId="2" fillId="0" borderId="1" applyAlignment="1" pivotButton="0" quotePrefix="0" xfId="0">
      <alignment horizontal="center" vertical="center"/>
    </xf>
    <xf numFmtId="165" fontId="0" fillId="0" borderId="0" applyAlignment="1" pivotButton="0" quotePrefix="0" xfId="1">
      <alignment horizontal="center" vertical="center"/>
    </xf>
    <xf numFmtId="165" fontId="0" fillId="0" borderId="1" applyAlignment="1" pivotButton="0" quotePrefix="0" xfId="1">
      <alignment horizontal="center" vertical="center"/>
    </xf>
    <xf numFmtId="166" fontId="2" fillId="0" borderId="2" applyAlignment="1" pivotButton="0" quotePrefix="0" xfId="0">
      <alignment horizontal="center" vertical="center"/>
    </xf>
    <xf numFmtId="166" fontId="2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wrapText="1"/>
    </xf>
    <xf numFmtId="0" fontId="0" fillId="0" borderId="0" applyAlignment="1" pivotButton="1" quotePrefix="0" xfId="0">
      <alignment wrapText="1"/>
    </xf>
    <xf numFmtId="0" fontId="0" fillId="0" borderId="0" applyAlignment="1" pivotButton="0" quotePrefix="0" xfId="0">
      <alignment horizontal="left" wrapText="1"/>
    </xf>
    <xf numFmtId="165" fontId="0" fillId="0" borderId="0" applyAlignment="1" pivotButton="0" quotePrefix="0" xfId="0">
      <alignment wrapText="1"/>
    </xf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1" quotePrefix="0" xfId="0">
      <alignment vertical="center" wrapText="1"/>
    </xf>
    <xf numFmtId="0" fontId="0" fillId="0" borderId="0" applyAlignment="1" pivotButton="0" quotePrefix="0" xfId="0">
      <alignment horizontal="left" vertical="center" wrapText="1"/>
    </xf>
    <xf numFmtId="0" fontId="0" fillId="6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wrapText="1" indent="1"/>
    </xf>
    <xf numFmtId="0" fontId="5" fillId="3" borderId="3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center" vertical="center" wrapText="1"/>
    </xf>
    <xf numFmtId="164" fontId="2" fillId="0" borderId="3" applyAlignment="1" pivotButton="0" quotePrefix="0" xfId="0">
      <alignment horizontal="right" vertical="center" wrapText="1"/>
    </xf>
    <xf numFmtId="0" fontId="2" fillId="4" borderId="3" applyAlignment="1" pivotButton="0" quotePrefix="0" xfId="0">
      <alignment horizontal="center" vertical="center" wrapText="1"/>
    </xf>
    <xf numFmtId="164" fontId="2" fillId="4" borderId="3" applyAlignment="1" pivotButton="0" quotePrefix="0" xfId="0">
      <alignment horizontal="right" vertical="center" wrapText="1"/>
    </xf>
    <xf numFmtId="0" fontId="6" fillId="5" borderId="4" applyAlignment="1" pivotButton="0" quotePrefix="0" xfId="0">
      <alignment horizontal="left" vertical="center" wrapText="1"/>
    </xf>
    <xf numFmtId="164" fontId="6" fillId="5" borderId="4" applyAlignment="1" pivotButton="0" quotePrefix="0" xfId="0">
      <alignment horizontal="right" vertical="center" wrapText="1"/>
    </xf>
    <xf numFmtId="0" fontId="5" fillId="2" borderId="3" applyAlignment="1" pivotButton="0" quotePrefix="0" xfId="0">
      <alignment horizontal="left" vertical="center" wrapText="1"/>
    </xf>
    <xf numFmtId="0" fontId="0" fillId="2" borderId="3" applyAlignment="1" pivotButton="0" quotePrefix="0" xfId="0">
      <alignment wrapText="1"/>
    </xf>
    <xf numFmtId="0" fontId="3" fillId="0" borderId="0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17" fontId="0" fillId="0" borderId="0" applyAlignment="1" pivotButton="0" quotePrefix="0" xfId="0">
      <alignment horizontal="center" wrapText="1"/>
    </xf>
    <xf numFmtId="165" fontId="1" fillId="0" borderId="0" pivotButton="0" quotePrefix="0" xfId="1"/>
    <xf numFmtId="0" fontId="5" fillId="2" borderId="5" applyAlignment="1" pivotButton="0" quotePrefix="0" xfId="0">
      <alignment horizontal="left" vertical="center" wrapText="1"/>
    </xf>
    <xf numFmtId="0" fontId="0" fillId="2" borderId="6" applyAlignment="1" pivotButton="0" quotePrefix="0" xfId="0">
      <alignment wrapText="1"/>
    </xf>
    <xf numFmtId="0" fontId="0" fillId="2" borderId="7" applyAlignment="1" pivotButton="0" quotePrefix="0" xfId="0">
      <alignment wrapText="1"/>
    </xf>
    <xf numFmtId="165" fontId="0" fillId="0" borderId="0" applyAlignment="1" pivotButton="0" quotePrefix="0" xfId="1">
      <alignment horizontal="center" vertical="center"/>
    </xf>
    <xf numFmtId="165" fontId="0" fillId="0" borderId="1" applyAlignment="1" pivotButton="0" quotePrefix="0" xfId="1">
      <alignment horizontal="center" vertical="center"/>
    </xf>
    <xf numFmtId="166" fontId="2" fillId="0" borderId="2" applyAlignment="1" pivotButton="0" quotePrefix="0" xfId="0">
      <alignment horizontal="center" vertical="center"/>
    </xf>
    <xf numFmtId="164" fontId="2" fillId="0" borderId="1" applyAlignment="1" pivotButton="0" quotePrefix="0" xfId="1">
      <alignment horizontal="center" vertical="center"/>
    </xf>
    <xf numFmtId="166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165" fontId="0" fillId="0" borderId="0" applyAlignment="1" pivotButton="0" quotePrefix="0" xfId="0">
      <alignment wrapText="1"/>
    </xf>
    <xf numFmtId="0" fontId="0" fillId="0" borderId="6" pivotButton="0" quotePrefix="0" xfId="0"/>
    <xf numFmtId="0" fontId="0" fillId="0" borderId="7" pivotButton="0" quotePrefix="0" xfId="0"/>
    <xf numFmtId="164" fontId="2" fillId="0" borderId="3" applyAlignment="1" pivotButton="0" quotePrefix="0" xfId="0">
      <alignment horizontal="right" vertical="center" wrapText="1"/>
    </xf>
    <xf numFmtId="164" fontId="2" fillId="4" borderId="3" applyAlignment="1" pivotButton="0" quotePrefix="0" xfId="0">
      <alignment horizontal="right" vertical="center" wrapText="1"/>
    </xf>
    <xf numFmtId="164" fontId="6" fillId="5" borderId="4" applyAlignment="1" pivotButton="0" quotePrefix="0" xfId="0">
      <alignment horizontal="right" vertical="center" wrapText="1"/>
    </xf>
    <xf numFmtId="165" fontId="1" fillId="0" borderId="0" pivotButton="0" quotePrefix="0" xfId="1"/>
  </cellXfs>
  <cellStyles count="2">
    <cellStyle name="Normal" xfId="0" builtinId="0"/>
    <cellStyle name="Moeda" xfId="1" builtinId="4"/>
  </cellStyles>
  <dxfs count="19">
    <dxf>
      <numFmt numFmtId="34" formatCode="_-&quot;R$&quot;\ * #,##0.00_-;\-&quot;R$&quot;\ * #,##0.00_-;_-&quot;R$&quot;\ * &quot;-&quot;??_-;_-@_-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vertical="center"/>
    </dxf>
    <dxf>
      <alignment vertical="center"/>
    </dxf>
    <dxf>
      <alignment horizontal="center"/>
    </dxf>
    <dxf>
      <alignment horizontal="center"/>
    </dxf>
    <dxf>
      <alignment vertical="center"/>
    </dxf>
    <dxf>
      <alignment vertical="center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pivotCacheDefinition" Target="/xl/pivotCache/pivotCacheDefinition1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pt-BR"/>
              <a:t>Execução Financeira Mensal - Conta 375 (Empresa)</a:t>
            </a:r>
          </a:p>
        </rich>
      </tx>
      <overlay val="1"/>
    </title>
    <plotArea>
      <layout>
        <manualLayout>
          <layoutTarget val="inner"/>
          <xMode val="edge"/>
          <yMode val="edge"/>
          <wMode val="factor"/>
          <hMode val="factor"/>
          <x val="0.009490886218444874"/>
          <y val="0.08899020549260613"/>
          <w val="0.9826698516351299"/>
          <h val="0.7255555982331476"/>
        </manualLayout>
      </layout>
      <barChart>
        <barDir val="col"/>
        <grouping val="clustered"/>
        <varyColors val="1"/>
        <ser>
          <idx val="0"/>
          <order val="0"/>
          <spPr>
            <a:solidFill xmlns:a="http://schemas.openxmlformats.org/drawingml/2006/main">
              <a:srgbClr val="2E7D32"/>
            </a:solidFill>
            <a:ln xmlns:a="http://schemas.openxmlformats.org/drawingml/2006/main">
              <a:prstDash val="solid"/>
            </a:ln>
          </spPr>
          <invertIfNegative val="1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graficos!$B$7:$B$11</f>
              <strCache>
                <ptCount val="5"/>
                <pt idx="0">
                  <v>Junho/26</v>
                </pt>
                <pt idx="1">
                  <v>Julho/26</v>
                </pt>
                <pt idx="2">
                  <v>Agosto/26</v>
                </pt>
                <pt idx="3">
                  <v>Setembro/26</v>
                </pt>
                <pt idx="4">
                  <v>Outubro/26</v>
                </pt>
              </strCache>
            </strRef>
          </cat>
          <val>
            <numRef>
              <f>graficos!$C$7:$C$11</f>
              <numCache>
                <formatCode>_-"R$"* #,##0.00_-;\-"R$"* #,##0.00_-;_-"R$"* "-"??_-;_-@_-</formatCode>
                <ptCount val="5"/>
                <pt idx="0">
                  <v>0</v>
                </pt>
                <pt idx="1">
                  <v>27500</v>
                </pt>
                <pt idx="2">
                  <v>0</v>
                </pt>
                <pt idx="3">
                  <v>0</v>
                </pt>
                <pt idx="4">
                  <v>0</v>
                </pt>
              </numCache>
            </numRef>
          </val>
        </ser>
        <ser>
          <idx val="1"/>
          <order val="1"/>
          <spPr>
            <a:solidFill xmlns:a="http://schemas.openxmlformats.org/drawingml/2006/main">
              <a:srgbClr val="A02B93"/>
            </a:solidFill>
            <a:ln xmlns:a="http://schemas.openxmlformats.org/drawingml/2006/main">
              <a:prstDash val="solid"/>
            </a:ln>
          </spPr>
          <invertIfNegative val="1"/>
          <dLbls>
            <dLbl>
              <idx val="2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4"/>
              <showLegendKey val="0"/>
              <showVal val="1"/>
              <showCatName val="0"/>
              <showSerName val="0"/>
              <showPercent val="0"/>
              <showBubbleSize val="0"/>
            </dLbl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graficos!$B$7:$B$11</f>
              <strCache>
                <ptCount val="5"/>
                <pt idx="0">
                  <v>Junho/26</v>
                </pt>
                <pt idx="1">
                  <v>Julho/26</v>
                </pt>
                <pt idx="2">
                  <v>Agosto/26</v>
                </pt>
                <pt idx="3">
                  <v>Setembro/26</v>
                </pt>
                <pt idx="4">
                  <v>Outubro/26</v>
                </pt>
              </strCache>
            </strRef>
          </cat>
          <val>
            <numRef>
              <f>graficos!$D$7:$D$11</f>
              <numCache>
                <formatCode>_-"R$"* #,##0.00_-;\-"R$"* #,##0.00_-;_-"R$"* "-"??_-;_-@_-</formatCode>
                <ptCount val="5"/>
                <pt idx="0">
                  <v>0</v>
                </pt>
                <pt idx="1">
                  <v>172.42</v>
                </pt>
                <pt idx="2">
                  <v>148.09</v>
                </pt>
                <pt idx="3">
                  <v>115.12</v>
                </pt>
                <pt idx="4">
                  <v>50.46000000000001</v>
                </pt>
              </numCache>
            </numRef>
          </val>
        </ser>
        <ser>
          <idx val="2"/>
          <order val="2"/>
          <spPr>
            <a:solidFill xmlns:a="http://schemas.openxmlformats.org/drawingml/2006/main">
              <a:srgbClr val="D32F2F"/>
            </a:solidFill>
            <a:ln xmlns:a="http://schemas.openxmlformats.org/drawingml/2006/main">
              <a:prstDash val="solid"/>
            </a:ln>
          </spPr>
          <invertIfNegative val="1"/>
          <dLbls>
            <dLbl>
              <idx val="1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showLegendKey val="0"/>
              <showVal val="1"/>
              <showCatName val="0"/>
              <showSerName val="0"/>
              <showPercent val="0"/>
              <showBubbleSize val="0"/>
            </dLbl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graficos!$B$7:$B$11</f>
              <strCache>
                <ptCount val="5"/>
                <pt idx="0">
                  <v>Junho/26</v>
                </pt>
                <pt idx="1">
                  <v>Julho/26</v>
                </pt>
                <pt idx="2">
                  <v>Agosto/26</v>
                </pt>
                <pt idx="3">
                  <v>Setembro/26</v>
                </pt>
                <pt idx="4">
                  <v>Outubro/26</v>
                </pt>
              </strCache>
            </strRef>
          </cat>
          <val>
            <numRef>
              <f>graficos!$E$7:$E$11</f>
              <numCache>
                <formatCode>_-"R$"* #,##0.00_-;\-"R$"* #,##0.00_-;_-"R$"* "-"??_-;_-@_-</formatCode>
                <ptCount val="5"/>
                <pt idx="0">
                  <v>0</v>
                </pt>
                <pt idx="1">
                  <v>6961.2</v>
                </pt>
                <pt idx="2">
                  <v>2963.08</v>
                </pt>
                <pt idx="3">
                  <v>2963.07</v>
                </pt>
                <pt idx="4">
                  <v>11063.07</v>
                </pt>
              </numCache>
            </numRef>
          </val>
        </ser>
        <ser>
          <idx val="3"/>
          <order val="3"/>
          <spPr>
            <a:solidFill xmlns:a="http://schemas.openxmlformats.org/drawingml/2006/main">
              <a:srgbClr val="1565C0"/>
            </a:solidFill>
            <a:ln xmlns:a="http://schemas.openxmlformats.org/drawingml/2006/main">
              <a:prstDash val="solid"/>
            </a:ln>
          </spPr>
          <invertIfNegative val="1"/>
          <dLbls>
            <dLbl>
              <idx val="4"/>
              <showLegendKey val="0"/>
              <showVal val="1"/>
              <showCatName val="0"/>
              <showSerName val="0"/>
              <showPercent val="0"/>
              <showBubbleSize val="0"/>
            </dLbl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graficos!$B$7:$B$11</f>
              <strCache>
                <ptCount val="5"/>
                <pt idx="0">
                  <v>Junho/26</v>
                </pt>
                <pt idx="1">
                  <v>Julho/26</v>
                </pt>
                <pt idx="2">
                  <v>Agosto/26</v>
                </pt>
                <pt idx="3">
                  <v>Setembro/26</v>
                </pt>
                <pt idx="4">
                  <v>Outubro/26</v>
                </pt>
              </strCache>
            </strRef>
          </cat>
          <val>
            <numRef>
              <f>graficos!$F$7:$F$11</f>
              <numCache>
                <formatCode>_-"R$"* #,##0.00_-;\-"R$"* #,##0.00_-;_-"R$"* "-"??_-;_-@_-</formatCode>
                <ptCount val="5"/>
                <pt idx="0">
                  <v>0</v>
                </pt>
                <pt idx="1">
                  <v>20711.22</v>
                </pt>
                <pt idx="2">
                  <v>17896.23</v>
                </pt>
                <pt idx="3">
                  <v>15048.28</v>
                </pt>
                <pt idx="4">
                  <v>4035.669999999995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10"/>
        <axId val="100"/>
      </barChart>
      <catAx>
        <axId val="10"/>
        <scaling>
          <orientation val="minMax"/>
        </scaling>
        <delete val="0"/>
        <axPos val="b"/>
        <numFmt formatCode="General" sourceLinked="1"/>
        <majorTickMark val="out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</scaling>
        <delete val="1"/>
        <axPos val="l"/>
        <numFmt formatCode="_-&quot;R$&quot;* #,##0.00_-;\-&quot;R$&quot;* #,##0.00_-;_-&quot;R$&quot;* &quot;-&quot;??_-;_-@_-" sourceLinked="1"/>
        <majorTickMark val="out"/>
        <minorTickMark val="none"/>
        <tickLblPos val="nextTo"/>
        <crossAx val="10"/>
        <crosses val="autoZero"/>
        <crossBetween val="between"/>
      </valAx>
    </plotArea>
    <legend>
      <legendPos val="b"/>
      <overlay val="1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pt-BR"/>
              <a:t>Execução Financeira Mensal - Conta 376 (SEBRAE)</a:t>
            </a:r>
          </a:p>
        </rich>
      </tx>
      <overlay val="1"/>
    </title>
    <plotArea>
      <layout>
        <manualLayout>
          <layoutTarget val="inner"/>
          <xMode val="edge"/>
          <yMode val="edge"/>
          <wMode val="factor"/>
          <hMode val="factor"/>
          <x val="0.006686331970415526"/>
          <y val="0.1041534391534392"/>
          <w val="0.9754834494418098"/>
          <h val="0.7345767195767196"/>
        </manualLayout>
      </layout>
      <barChart>
        <barDir val="col"/>
        <grouping val="clustered"/>
        <varyColors val="1"/>
        <ser>
          <idx val="0"/>
          <order val="0"/>
          <tx>
            <strRef>
              <f>graficos!$C$27</f>
              <strCache>
                <ptCount val="1"/>
                <pt idx="0">
                  <v>Entradas</v>
                </pt>
              </strCache>
            </strRef>
          </tx>
          <spPr>
            <a:solidFill xmlns:a="http://schemas.openxmlformats.org/drawingml/2006/main">
              <a:srgbClr val="2E7D32"/>
            </a:solidFill>
            <a:ln xmlns:a="http://schemas.openxmlformats.org/drawingml/2006/main">
              <a:prstDash val="solid"/>
            </a:ln>
          </spPr>
          <invertIfNegative val="1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graficos!$B$28:$B$32</f>
              <strCache>
                <ptCount val="5"/>
                <pt idx="0">
                  <v>Junho/26</v>
                </pt>
                <pt idx="1">
                  <v>Julho/26</v>
                </pt>
                <pt idx="2">
                  <v>Agosto/26</v>
                </pt>
                <pt idx="3">
                  <v>Setembro/26</v>
                </pt>
                <pt idx="4">
                  <v>Outubro/26</v>
                </pt>
              </strCache>
            </strRef>
          </cat>
          <val>
            <numRef>
              <f>graficos!$C$28:$C$32</f>
              <numCache>
                <formatCode>_-"R$"* #,##0.00_-;\-"R$"* #,##0.00_-;_-"R$"* "-"??_-;_-@_-</formatCode>
                <ptCount val="5"/>
                <pt idx="0">
                  <v>0</v>
                </pt>
                <pt idx="1">
                  <v>150000</v>
                </pt>
                <pt idx="2">
                  <v>0</v>
                </pt>
                <pt idx="3">
                  <v>0</v>
                </pt>
                <pt idx="4">
                  <v>0</v>
                </pt>
              </numCache>
            </numRef>
          </val>
        </ser>
        <ser>
          <idx val="1"/>
          <order val="1"/>
          <tx>
            <strRef>
              <f>graficos!$D$27</f>
              <strCache>
                <ptCount val="1"/>
                <pt idx="0">
                  <v>Rendimentos</v>
                </pt>
              </strCache>
            </strRef>
          </tx>
          <spPr>
            <a:solidFill xmlns:a="http://schemas.openxmlformats.org/drawingml/2006/main">
              <a:srgbClr val="A02B93"/>
            </a:solidFill>
            <a:ln xmlns:a="http://schemas.openxmlformats.org/drawingml/2006/main">
              <a:prstDash val="solid"/>
            </a:ln>
          </spPr>
          <invertIfNegative val="1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graficos!$B$28:$B$32</f>
              <strCache>
                <ptCount val="5"/>
                <pt idx="0">
                  <v>Junho/26</v>
                </pt>
                <pt idx="1">
                  <v>Julho/26</v>
                </pt>
                <pt idx="2">
                  <v>Agosto/26</v>
                </pt>
                <pt idx="3">
                  <v>Setembro/26</v>
                </pt>
                <pt idx="4">
                  <v>Outubro/26</v>
                </pt>
              </strCache>
            </strRef>
          </cat>
          <val>
            <numRef>
              <f>graficos!$D$28:$D$32</f>
              <numCache>
                <formatCode>_-"R$"* #,##0.00_-;\-"R$"* #,##0.00_-;_-"R$"* "-"??_-;_-@_-</formatCode>
                <ptCount val="5"/>
                <pt idx="0">
                  <v>0</v>
                </pt>
                <pt idx="1">
                  <v>963.6100000000001</v>
                </pt>
                <pt idx="2">
                  <v>657.66</v>
                </pt>
                <pt idx="3">
                  <v>120.44</v>
                </pt>
                <pt idx="4">
                  <v>12.83999999999999</v>
                </pt>
              </numCache>
            </numRef>
          </val>
        </ser>
        <ser>
          <idx val="2"/>
          <order val="2"/>
          <tx>
            <strRef>
              <f>graficos!$E$27</f>
              <strCache>
                <ptCount val="1"/>
                <pt idx="0">
                  <v>Débitos</v>
                </pt>
              </strCache>
            </strRef>
          </tx>
          <spPr>
            <a:solidFill xmlns:a="http://schemas.openxmlformats.org/drawingml/2006/main">
              <a:srgbClr val="D32F2F"/>
            </a:solidFill>
            <a:ln xmlns:a="http://schemas.openxmlformats.org/drawingml/2006/main">
              <a:prstDash val="solid"/>
            </a:ln>
          </spPr>
          <invertIfNegative val="1"/>
          <dLbls>
            <dLbl>
              <idx val="1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4"/>
              <showLegendKey val="0"/>
              <showVal val="1"/>
              <showCatName val="0"/>
              <showSerName val="0"/>
              <showPercent val="0"/>
              <showBubbleSize val="0"/>
            </dLbl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graficos!$B$28:$B$32</f>
              <strCache>
                <ptCount val="5"/>
                <pt idx="0">
                  <v>Junho/26</v>
                </pt>
                <pt idx="1">
                  <v>Julho/26</v>
                </pt>
                <pt idx="2">
                  <v>Agosto/26</v>
                </pt>
                <pt idx="3">
                  <v>Setembro/26</v>
                </pt>
                <pt idx="4">
                  <v>Outubro/26</v>
                </pt>
              </strCache>
            </strRef>
          </cat>
          <val>
            <numRef>
              <f>graficos!$E$28:$E$32</f>
              <numCache>
                <formatCode>_-"R$"* #,##0.00_-;\-"R$"* #,##0.00_-;_-"R$"* "-"??_-;_-@_-</formatCode>
                <ptCount val="5"/>
                <pt idx="0">
                  <v>0</v>
                </pt>
                <pt idx="1">
                  <v>12003.16</v>
                </pt>
                <pt idx="2">
                  <v>60075.58</v>
                </pt>
                <pt idx="3">
                  <v>52062.94</v>
                </pt>
                <pt idx="4">
                  <v>16047.14</v>
                </pt>
              </numCache>
            </numRef>
          </val>
        </ser>
        <ser>
          <idx val="3"/>
          <order val="3"/>
          <tx>
            <strRef>
              <f>graficos!$F$27</f>
              <strCache>
                <ptCount val="1"/>
                <pt idx="0">
                  <v>Saldo</v>
                </pt>
              </strCache>
            </strRef>
          </tx>
          <spPr>
            <a:solidFill xmlns:a="http://schemas.openxmlformats.org/drawingml/2006/main">
              <a:srgbClr val="1565C0"/>
            </a:solidFill>
            <a:ln xmlns:a="http://schemas.openxmlformats.org/drawingml/2006/main">
              <a:prstDash val="solid"/>
            </a:ln>
          </spPr>
          <invertIfNegative val="1"/>
          <dLbls>
            <dLbl>
              <idx val="3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4"/>
              <showLegendKey val="0"/>
              <showVal val="1"/>
              <showCatName val="0"/>
              <showSerName val="0"/>
              <showPercent val="0"/>
              <showBubbleSize val="0"/>
            </dLbl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graficos!$B$28:$B$32</f>
              <strCache>
                <ptCount val="5"/>
                <pt idx="0">
                  <v>Junho/26</v>
                </pt>
                <pt idx="1">
                  <v>Julho/26</v>
                </pt>
                <pt idx="2">
                  <v>Agosto/26</v>
                </pt>
                <pt idx="3">
                  <v>Setembro/26</v>
                </pt>
                <pt idx="4">
                  <v>Outubro/26</v>
                </pt>
              </strCache>
            </strRef>
          </cat>
          <val>
            <numRef>
              <f>graficos!$F$28:$F$32</f>
              <numCache>
                <formatCode>_-"R$"* #,##0.00_-;\-"R$"* #,##0.00_-;_-"R$"* "-"??_-;_-@_-</formatCode>
                <ptCount val="5"/>
                <pt idx="0">
                  <v>0</v>
                </pt>
                <pt idx="1">
                  <v>138960.45</v>
                </pt>
                <pt idx="2">
                  <v>79542.52999999998</v>
                </pt>
                <pt idx="3">
                  <v>27600.02999999998</v>
                </pt>
                <pt idx="4">
                  <v>11565.72999999999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10"/>
        <axId val="100"/>
      </barChart>
      <catAx>
        <axId val="10"/>
        <scaling>
          <orientation val="minMax"/>
        </scaling>
        <delete val="0"/>
        <axPos val="b"/>
        <numFmt formatCode="General" sourceLinked="1"/>
        <majorTickMark val="out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</scaling>
        <delete val="1"/>
        <axPos val="l"/>
        <numFmt formatCode="_-&quot;R$&quot;* #,##0.00_-;\-&quot;R$&quot;* #,##0.00_-;_-&quot;R$&quot;* &quot;-&quot;??_-;_-@_-" sourceLinked="1"/>
        <majorTickMark val="out"/>
        <minorTickMark val="none"/>
        <tickLblPos val="nextTo"/>
        <crossAx val="10"/>
        <crosses val="autoZero"/>
        <crossBetween val="between"/>
      </valAx>
    </plotArea>
    <legend>
      <legendPos val="b"/>
      <overlay val="1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pt-BR"/>
              <a:t>Execução Financeira Mensal - Conta 377 (EMBRAPII)</a:t>
            </a:r>
          </a:p>
        </rich>
      </tx>
      <overlay val="1"/>
    </title>
    <plotArea>
      <layout>
        <manualLayout>
          <layoutTarget val="inner"/>
          <xMode val="edge"/>
          <yMode val="edge"/>
          <wMode val="factor"/>
          <hMode val="factor"/>
          <x val="0.07221113944410164"/>
          <y val="0.2657677248677249"/>
          <w val="0.9032963933044923"/>
          <h val="0.5495613756613758"/>
        </manualLayout>
      </layout>
      <barChart>
        <barDir val="col"/>
        <grouping val="clustered"/>
        <varyColors val="1"/>
        <ser>
          <idx val="0"/>
          <order val="0"/>
          <tx>
            <strRef>
              <f>graficos!$C$48</f>
              <strCache>
                <ptCount val="1"/>
                <pt idx="0">
                  <v>Entradas</v>
                </pt>
              </strCache>
            </strRef>
          </tx>
          <spPr>
            <a:solidFill xmlns:a="http://schemas.openxmlformats.org/drawingml/2006/main">
              <a:srgbClr val="2E7D32"/>
            </a:solidFill>
            <a:ln xmlns:a="http://schemas.openxmlformats.org/drawingml/2006/main">
              <a:prstDash val="solid"/>
            </a:ln>
          </spPr>
          <invertIfNegative val="1"/>
          <dLbls>
            <dLbl>
              <idx val="4"/>
              <showLegendKey val="0"/>
              <showVal val="1"/>
              <showCatName val="0"/>
              <showSerName val="0"/>
              <showPercent val="0"/>
              <showBubbleSize val="0"/>
            </dLbl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graficos!$B$49:$B$53</f>
              <strCache>
                <ptCount val="5"/>
                <pt idx="0">
                  <v>Junho/26</v>
                </pt>
                <pt idx="1">
                  <v>Julho/26</v>
                </pt>
                <pt idx="2">
                  <v>Agosto/26</v>
                </pt>
                <pt idx="3">
                  <v>Setembro/26</v>
                </pt>
                <pt idx="4">
                  <v>Outubro/26</v>
                </pt>
              </strCache>
            </strRef>
          </cat>
          <val>
            <numRef>
              <f>graficos!$C$49:$C$53</f>
              <numCache>
                <formatCode>_-"R$"* #,##0.00_-;\-"R$"* #,##0.00_-;_-"R$"* "-"??_-;_-@_-</formatCode>
                <ptCount val="5"/>
                <pt idx="0">
                  <v>103000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45000</v>
                </pt>
              </numCache>
            </numRef>
          </val>
        </ser>
        <ser>
          <idx val="1"/>
          <order val="1"/>
          <tx>
            <strRef>
              <f>graficos!$D$48</f>
              <strCache>
                <ptCount val="1"/>
                <pt idx="0">
                  <v>Rendimentos</v>
                </pt>
              </strCache>
            </strRef>
          </tx>
          <spPr>
            <a:solidFill xmlns:a="http://schemas.openxmlformats.org/drawingml/2006/main">
              <a:srgbClr val="0288D1"/>
            </a:solidFill>
            <a:ln xmlns:a="http://schemas.openxmlformats.org/drawingml/2006/main">
              <a:prstDash val="solid"/>
            </a:ln>
          </spPr>
          <invertIfNegative val="1"/>
          <cat>
            <strRef>
              <f>graficos!$B$49:$B$53</f>
              <strCache>
                <ptCount val="5"/>
                <pt idx="0">
                  <v>Junho/26</v>
                </pt>
                <pt idx="1">
                  <v>Julho/26</v>
                </pt>
                <pt idx="2">
                  <v>Agosto/26</v>
                </pt>
                <pt idx="3">
                  <v>Setembro/26</v>
                </pt>
                <pt idx="4">
                  <v>Outubro/26</v>
                </pt>
              </strCache>
            </strRef>
          </cat>
          <val>
            <numRef>
              <f>graficos!$D$49:$D$53</f>
              <numCache>
                <formatCode>_-"R$"* #,##0.00_-;\-"R$"* #,##0.00_-;_-"R$"* "-"??_-;_-@_-</formatCode>
                <ptCount val="5"/>
                <pt idx="0">
                  <v>334.52</v>
                </pt>
                <pt idx="1">
                  <v>972.42</v>
                </pt>
                <pt idx="2">
                  <v>845.0300000000001</v>
                </pt>
                <pt idx="3">
                  <v>752.0899999999999</v>
                </pt>
                <pt idx="4">
                  <v>115.47</v>
                </pt>
              </numCache>
            </numRef>
          </val>
        </ser>
        <ser>
          <idx val="2"/>
          <order val="2"/>
          <tx>
            <strRef>
              <f>graficos!$E$48</f>
              <strCache>
                <ptCount val="1"/>
                <pt idx="0">
                  <v>Débitos</v>
                </pt>
              </strCache>
            </strRef>
          </tx>
          <spPr>
            <a:solidFill xmlns:a="http://schemas.openxmlformats.org/drawingml/2006/main">
              <a:srgbClr val="D32F2F"/>
            </a:solidFill>
            <a:ln xmlns:a="http://schemas.openxmlformats.org/drawingml/2006/main">
              <a:prstDash val="solid"/>
            </a:ln>
          </spPr>
          <invertIfNegative val="1"/>
          <dLbls>
            <dLbl>
              <idx val="1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4"/>
              <showLegendKey val="0"/>
              <showVal val="1"/>
              <showCatName val="0"/>
              <showSerName val="0"/>
              <showPercent val="0"/>
              <showBubbleSize val="0"/>
            </dLbl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graficos!$B$49:$B$53</f>
              <strCache>
                <ptCount val="5"/>
                <pt idx="0">
                  <v>Junho/26</v>
                </pt>
                <pt idx="1">
                  <v>Julho/26</v>
                </pt>
                <pt idx="2">
                  <v>Agosto/26</v>
                </pt>
                <pt idx="3">
                  <v>Setembro/26</v>
                </pt>
                <pt idx="4">
                  <v>Outubro/26</v>
                </pt>
              </strCache>
            </strRef>
          </cat>
          <val>
            <numRef>
              <f>graficos!$E$49:$E$53</f>
              <numCache>
                <formatCode>_-"R$"* #,##0.00_-;\-"R$"* #,##0.00_-;_-"R$"* "-"??_-;_-@_-</formatCode>
                <ptCount val="5"/>
                <pt idx="0">
                  <v>0</v>
                </pt>
                <pt idx="1">
                  <v>34.5</v>
                </pt>
                <pt idx="2">
                  <v>4165.82</v>
                </pt>
                <pt idx="3">
                  <v>6168.98</v>
                </pt>
                <pt idx="4">
                  <v>42187.94000000001</v>
                </pt>
              </numCache>
            </numRef>
          </val>
        </ser>
        <ser>
          <idx val="3"/>
          <order val="3"/>
          <tx>
            <strRef>
              <f>graficos!$F$48</f>
              <strCache>
                <ptCount val="1"/>
                <pt idx="0">
                  <v>Saldo</v>
                </pt>
              </strCache>
            </strRef>
          </tx>
          <spPr>
            <a:solidFill xmlns:a="http://schemas.openxmlformats.org/drawingml/2006/main">
              <a:srgbClr val="1565C0"/>
            </a:solidFill>
            <a:ln xmlns:a="http://schemas.openxmlformats.org/drawingml/2006/main">
              <a:prstDash val="solid"/>
            </a:ln>
          </spPr>
          <invertIfNegative val="1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graficos!$B$49:$B$53</f>
              <strCache>
                <ptCount val="5"/>
                <pt idx="0">
                  <v>Junho/26</v>
                </pt>
                <pt idx="1">
                  <v>Julho/26</v>
                </pt>
                <pt idx="2">
                  <v>Agosto/26</v>
                </pt>
                <pt idx="3">
                  <v>Setembro/26</v>
                </pt>
                <pt idx="4">
                  <v>Outubro/26</v>
                </pt>
              </strCache>
            </strRef>
          </cat>
          <val>
            <numRef>
              <f>graficos!$F$49:$F$53</f>
              <numCache>
                <formatCode>_-"R$"* #,##0.00_-;\-"R$"* #,##0.00_-;_-"R$"* "-"??_-;_-@_-</formatCode>
                <ptCount val="5"/>
                <pt idx="0">
                  <v>103334.52</v>
                </pt>
                <pt idx="1">
                  <v>104272.44</v>
                </pt>
                <pt idx="2">
                  <v>100951.65</v>
                </pt>
                <pt idx="3">
                  <v>95534.75999999999</v>
                </pt>
                <pt idx="4">
                  <v>98462.29000000001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10"/>
        <axId val="100"/>
      </barChart>
      <catAx>
        <axId val="10"/>
        <scaling>
          <orientation val="minMax"/>
        </scaling>
        <delete val="0"/>
        <axPos val="b"/>
        <numFmt formatCode="General" sourceLinked="1"/>
        <majorTickMark val="out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</scaling>
        <delete val="1"/>
        <axPos val="l"/>
        <numFmt formatCode="_-&quot;R$&quot;* #,##0.00_-;\-&quot;R$&quot;* #,##0.00_-;_-&quot;R$&quot;* &quot;-&quot;??_-;_-@_-" sourceLinked="1"/>
        <majorTickMark val="out"/>
        <minorTickMark val="none"/>
        <tickLblPos val="nextTo"/>
        <crossAx val="10"/>
        <crosses val="autoZero"/>
        <crossBetween val="between"/>
      </valAx>
    </plotArea>
    <legend>
      <legendPos val="b"/>
      <overlay val="1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200"/>
            </a:pPr>
            <a:r>
              <a:rPr lang="pt-BR" sz="1200"/>
              <a:t>Execução Financeira Mensal - Consolidado Geral (Todas as Contas)</a:t>
            </a:r>
          </a:p>
        </rich>
      </tx>
      <overlay val="1"/>
    </title>
    <plotArea>
      <layout>
        <manualLayout>
          <layoutTarget val="inner"/>
          <xMode val="edge"/>
          <yMode val="edge"/>
          <wMode val="factor"/>
          <hMode val="factor"/>
          <x val="0.01447282155764903"/>
          <y val="0.083994708994709"/>
          <w val="0.9755075327485939"/>
          <h val="0.75485291005291"/>
        </manualLayout>
      </layout>
      <barChart>
        <barDir val="col"/>
        <grouping val="clustered"/>
        <varyColors val="1"/>
        <ser>
          <idx val="0"/>
          <order val="0"/>
          <tx>
            <strRef>
              <f>graficos!$C$69</f>
              <strCache>
                <ptCount val="1"/>
                <pt idx="0">
                  <v>Entradas</v>
                </pt>
              </strCache>
            </strRef>
          </tx>
          <spPr>
            <a:solidFill xmlns:a="http://schemas.openxmlformats.org/drawingml/2006/main">
              <a:srgbClr val="2E7D32"/>
            </a:solidFill>
            <a:ln xmlns:a="http://schemas.openxmlformats.org/drawingml/2006/main">
              <a:prstDash val="solid"/>
            </a:ln>
          </spPr>
          <invertIfNegative val="1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graficos!$B$70:$B$74</f>
              <strCache>
                <ptCount val="5"/>
                <pt idx="0">
                  <v>Junho/26</v>
                </pt>
                <pt idx="1">
                  <v>Julho/26</v>
                </pt>
                <pt idx="2">
                  <v>Agosto/26</v>
                </pt>
                <pt idx="3">
                  <v>Setembro/26</v>
                </pt>
                <pt idx="4">
                  <v>Outubro/26</v>
                </pt>
              </strCache>
            </strRef>
          </cat>
          <val>
            <numRef>
              <f>graficos!$C$70:$C$74</f>
              <numCache>
                <formatCode>_-"R$"* #,##0.00_-;\-"R$"* #,##0.00_-;_-"R$"* "-"??_-;_-@_-</formatCode>
                <ptCount val="5"/>
                <pt idx="0">
                  <v>103000</v>
                </pt>
                <pt idx="1">
                  <v>177500</v>
                </pt>
                <pt idx="2">
                  <v>0</v>
                </pt>
                <pt idx="3">
                  <v>0</v>
                </pt>
                <pt idx="4">
                  <v>45000</v>
                </pt>
              </numCache>
            </numRef>
          </val>
        </ser>
        <ser>
          <idx val="1"/>
          <order val="1"/>
          <tx>
            <strRef>
              <f>graficos!$D$69</f>
              <strCache>
                <ptCount val="1"/>
                <pt idx="0">
                  <v>Rendimentos</v>
                </pt>
              </strCache>
            </strRef>
          </tx>
          <spPr>
            <a:solidFill xmlns:a="http://schemas.openxmlformats.org/drawingml/2006/main">
              <a:srgbClr val="0288D1"/>
            </a:solidFill>
            <a:ln xmlns:a="http://schemas.openxmlformats.org/drawingml/2006/main">
              <a:prstDash val="solid"/>
            </a:ln>
          </spPr>
          <invertIfNegative val="1"/>
          <cat>
            <strRef>
              <f>graficos!$B$70:$B$74</f>
              <strCache>
                <ptCount val="5"/>
                <pt idx="0">
                  <v>Junho/26</v>
                </pt>
                <pt idx="1">
                  <v>Julho/26</v>
                </pt>
                <pt idx="2">
                  <v>Agosto/26</v>
                </pt>
                <pt idx="3">
                  <v>Setembro/26</v>
                </pt>
                <pt idx="4">
                  <v>Outubro/26</v>
                </pt>
              </strCache>
            </strRef>
          </cat>
          <val>
            <numRef>
              <f>graficos!$D$70:$D$74</f>
              <numCache>
                <formatCode>_-"R$"* #,##0.00_-;\-"R$"* #,##0.00_-;_-"R$"* "-"??_-;_-@_-</formatCode>
                <ptCount val="5"/>
                <pt idx="0">
                  <v>334.52</v>
                </pt>
                <pt idx="1">
                  <v>2108.45</v>
                </pt>
                <pt idx="2">
                  <v>1650.78</v>
                </pt>
                <pt idx="3">
                  <v>987.6499999999999</v>
                </pt>
                <pt idx="4">
                  <v>178.77</v>
                </pt>
              </numCache>
            </numRef>
          </val>
        </ser>
        <ser>
          <idx val="2"/>
          <order val="2"/>
          <tx>
            <strRef>
              <f>graficos!$E$69</f>
              <strCache>
                <ptCount val="1"/>
                <pt idx="0">
                  <v>Débitos</v>
                </pt>
              </strCache>
            </strRef>
          </tx>
          <spPr>
            <a:solidFill xmlns:a="http://schemas.openxmlformats.org/drawingml/2006/main">
              <a:srgbClr val="D32F2F"/>
            </a:solidFill>
            <a:ln xmlns:a="http://schemas.openxmlformats.org/drawingml/2006/main">
              <a:prstDash val="solid"/>
            </a:ln>
          </spPr>
          <invertIfNegative val="1"/>
          <dLbls>
            <dLbl>
              <idx val="1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4"/>
              <showLegendKey val="0"/>
              <showVal val="1"/>
              <showCatName val="0"/>
              <showSerName val="0"/>
              <showPercent val="0"/>
              <showBubbleSize val="0"/>
            </dLbl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graficos!$B$70:$B$74</f>
              <strCache>
                <ptCount val="5"/>
                <pt idx="0">
                  <v>Junho/26</v>
                </pt>
                <pt idx="1">
                  <v>Julho/26</v>
                </pt>
                <pt idx="2">
                  <v>Agosto/26</v>
                </pt>
                <pt idx="3">
                  <v>Setembro/26</v>
                </pt>
                <pt idx="4">
                  <v>Outubro/26</v>
                </pt>
              </strCache>
            </strRef>
          </cat>
          <val>
            <numRef>
              <f>graficos!$E$70:$E$74</f>
              <numCache>
                <formatCode>_-"R$"* #,##0.00_-;\-"R$"* #,##0.00_-;_-"R$"* "-"??_-;_-@_-</formatCode>
                <ptCount val="5"/>
                <pt idx="0">
                  <v>0</v>
                </pt>
                <pt idx="1">
                  <v>18998.86</v>
                </pt>
                <pt idx="2">
                  <v>67204.48000000001</v>
                </pt>
                <pt idx="3">
                  <v>61194.99000000001</v>
                </pt>
                <pt idx="4">
                  <v>69298.15000000001</v>
                </pt>
              </numCache>
            </numRef>
          </val>
        </ser>
        <ser>
          <idx val="3"/>
          <order val="3"/>
          <tx>
            <strRef>
              <f>graficos!$F$69</f>
              <strCache>
                <ptCount val="1"/>
                <pt idx="0">
                  <v>Saldo</v>
                </pt>
              </strCache>
            </strRef>
          </tx>
          <spPr>
            <a:solidFill xmlns:a="http://schemas.openxmlformats.org/drawingml/2006/main">
              <a:srgbClr val="1565C0"/>
            </a:solidFill>
            <a:ln xmlns:a="http://schemas.openxmlformats.org/drawingml/2006/main">
              <a:prstDash val="solid"/>
            </a:ln>
          </spPr>
          <invertIfNegative val="1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graficos!$B$70:$B$74</f>
              <strCache>
                <ptCount val="5"/>
                <pt idx="0">
                  <v>Junho/26</v>
                </pt>
                <pt idx="1">
                  <v>Julho/26</v>
                </pt>
                <pt idx="2">
                  <v>Agosto/26</v>
                </pt>
                <pt idx="3">
                  <v>Setembro/26</v>
                </pt>
                <pt idx="4">
                  <v>Outubro/26</v>
                </pt>
              </strCache>
            </strRef>
          </cat>
          <val>
            <numRef>
              <f>graficos!$F$70:$F$74</f>
              <numCache>
                <formatCode>_-"R$"* #,##0.00_-;\-"R$"* #,##0.00_-;_-"R$"* "-"??_-;_-@_-</formatCode>
                <ptCount val="5"/>
                <pt idx="0">
                  <v>103334.52</v>
                </pt>
                <pt idx="1">
                  <v>263944.11</v>
                </pt>
                <pt idx="2">
                  <v>198390.4100000001</v>
                </pt>
                <pt idx="3">
                  <v>138183.0700000001</v>
                </pt>
                <pt idx="4">
                  <v>114063.69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10"/>
        <axId val="100"/>
      </barChart>
      <catAx>
        <axId val="10"/>
        <scaling>
          <orientation val="minMax"/>
        </scaling>
        <delete val="0"/>
        <axPos val="b"/>
        <numFmt formatCode="General" sourceLinked="1"/>
        <majorTickMark val="out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</scaling>
        <delete val="1"/>
        <axPos val="l"/>
        <numFmt formatCode="_-&quot;R$&quot;* #,##0.00_-;\-&quot;R$&quot;* #,##0.00_-;_-&quot;R$&quot;* &quot;-&quot;??_-;_-@_-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b"/>
      <overlay val="1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/Relationships>
</file>

<file path=xl/drawings/drawing1.xml><?xml version="1.0" encoding="utf-8"?>
<wsDr xmlns="http://schemas.openxmlformats.org/drawingml/2006/spreadsheetDrawing">
  <oneCellAnchor>
    <from>
      <col>6</col>
      <colOff>268940</colOff>
      <row>1</row>
      <rowOff>145676</rowOff>
    </from>
    <ext cx="11340353" cy="4409515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6</col>
      <colOff>268940</colOff>
      <row>25</row>
      <rowOff>0</rowOff>
    </from>
    <ext cx="11396383" cy="37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6</col>
      <colOff>268940</colOff>
      <row>46</row>
      <rowOff>0</rowOff>
    </from>
    <ext cx="11407589" cy="37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6</col>
      <colOff>268940</colOff>
      <row>67</row>
      <rowOff>0</rowOff>
    </from>
    <ext cx="11407589" cy="378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pivotCache/_rels/pivotCacheDefinition1.xml.rels><Relationships xmlns="http://schemas.openxmlformats.org/package/2006/relationships"><Relationship Type="http://schemas.openxmlformats.org/officeDocument/2006/relationships/pivotCacheRecords" Target="/xl/pivotCache/pivotCacheRecords1.xml" Id="rId1"/></Relationships>
</file>

<file path=xl/pivotCache/pivotCacheDefinition1.xml><?xml version="1.0" encoding="utf-8"?>
<pivotCacheDefinition xmlns:r="http://schemas.openxmlformats.org/officeDocument/2006/relationships" xmlns="http://schemas.openxmlformats.org/spreadsheetml/2006/main" refreshedBy="Geziel Sena Colares" refreshedDate="46323.65424328703" createdVersion="8" refreshedVersion="8" minRefreshableVersion="3" recordCount="119" r:id="rId1">
  <cacheSource type="worksheet">
    <worksheetSource ref="A1:J120" name="tb_Extrato" sheet="extrato_bancario"/>
  </cacheSource>
  <cacheFields count="10">
    <cacheField name="data_lancamento" uniqueList="1" numFmtId="14" sqlType="0" hierarchy="0" level="0" databaseField="1">
      <sharedItems count="34" containsDate="1" containsNonDate="0" containsSemiMixedTypes="0" containsString="0" minDate="2026-06-16T00:00:00" maxDate="2026-10-21T00:00:00">
        <d v="2026-07-01T00:00:00"/>
        <d v="2026-07-07T00:00:00"/>
        <d v="2026-07-10T00:00:00"/>
        <d v="2026-07-31T00:00:00"/>
        <d v="2026-08-31T00:00:00"/>
        <d v="2026-09-30T00:00:00"/>
        <d v="2026-10-20T00:00:00"/>
        <d v="2026-07-16T00:00:00"/>
        <d v="2026-08-05T00:00:00"/>
        <d v="2026-09-08T00:00:00"/>
        <d v="2026-10-09T00:00:00"/>
        <d v="2026-08-20T00:00:00"/>
        <d v="2026-09-16T00:00:00"/>
        <d v="2026-10-07T00:00:00"/>
        <d v="2026-10-13T00:00:00"/>
        <d v="2026-10-14T00:00:00"/>
        <d v="2026-10-15T00:00:00"/>
        <d v="2026-07-02T00:00:00"/>
        <d v="2026-08-04T00:00:00"/>
        <d v="2026-09-02T00:00:00"/>
        <d v="2026-10-02T00:00:00"/>
        <d v="2026-08-17T00:00:00"/>
        <d v="2026-09-03T00:00:00"/>
        <d v="2026-09-09T00:00:00"/>
        <d v="2026-07-17T00:00:00"/>
        <d v="2026-08-06T00:00:00"/>
        <d v="2026-08-18T00:00:00"/>
        <d v="2026-09-04T00:00:00"/>
        <d v="2026-09-11T00:00:00"/>
        <d v="2026-10-16T00:00:00"/>
        <d v="2026-06-30T00:00:00"/>
        <d v="2026-06-16T00:00:00"/>
        <d v="2026-10-19T00:00:00"/>
        <d v="2026-09-21T00:00:00" u="1"/>
      </sharedItems>
    </cacheField>
    <cacheField name="data_pagamento" uniqueList="1" numFmtId="14" sqlType="0" hierarchy="0" level="0" databaseField="1">
      <sharedItems count="0" containsDate="1" containsNonDate="0" containsSemiMixedTypes="0" containsString="0" minDate="2026-06-17T00:00:00" maxDate="2026-10-21T00:00:00"/>
    </cacheField>
    <cacheField name="mês" uniqueList="1" numFmtId="164" sqlType="0" hierarchy="0" level="0" databaseField="1">
      <sharedItems count="5">
        <s v="julho"/>
        <s v="agosto"/>
        <s v="setembro"/>
        <s v="outubro"/>
        <s v="junho"/>
      </sharedItems>
    </cacheField>
    <cacheField name="conta" uniqueList="1" numFmtId="49" sqlType="0" hierarchy="0" level="0" databaseField="1">
      <sharedItems count="3">
        <s v="375 - IFAM 2026-006 - Bio Caroço (15334-6)"/>
        <s v="376 - IFAM 2026-006 - Bio Caroço SEBRAE (15335-4)"/>
        <s v="377 - IFAM 2026-006 - Bio Caroço EMBRAPII (15338-9)"/>
      </sharedItems>
    </cacheField>
    <cacheField name="rubrica" uniqueList="1" numFmtId="49" sqlType="0" hierarchy="0" level="0" databaseField="1">
      <sharedItems count="6">
        <s v="Receita"/>
        <s v="Obrigações Tributárias e Contributivas"/>
        <s v="Investimento"/>
        <s v="Recursos Humanos - Bolsa"/>
        <s v="Serviços Terceiros PJ"/>
        <s v="Tarifas Bancárias"/>
      </sharedItems>
    </cacheField>
    <cacheField name="documento" uniqueList="1" numFmtId="49" sqlType="0" hierarchy="0" level="0" databaseField="1">
      <sharedItems count="0"/>
    </cacheField>
    <cacheField name="movimento" uniqueList="1" numFmtId="49" sqlType="0" hierarchy="0" level="0" databaseField="1">
      <sharedItems count="0"/>
    </cacheField>
    <cacheField name="tipo" uniqueList="1" numFmtId="49" sqlType="0" hierarchy="0" level="0" databaseField="1">
      <sharedItems count="0"/>
    </cacheField>
    <cacheField name="descricao" uniqueList="1" numFmtId="49" sqlType="0" hierarchy="0" level="0" databaseField="1">
      <sharedItems count="0"/>
    </cacheField>
    <cacheField name="valor" uniqueList="1" numFmtId="165" sqlType="0" hierarchy="0" level="0" databaseField="1">
      <sharedItems count="0" containsNumber="1" containsSemiMixedTypes="0" containsString="0" minValue="-12000" maxValue="150000"/>
    </cacheField>
  </cacheFields>
</pivotCacheDefinition>
</file>

<file path=xl/pivotCache/pivotCacheRecords1.xml><?xml version="1.0" encoding="utf-8"?>
<pivotCacheRecords xmlns="http://schemas.openxmlformats.org/spreadsheetml/2006/main" count="119">
  <r>
    <x v="0"/>
    <d v="2026-07-01T00:00:00"/>
    <x v="0"/>
    <x v="0"/>
    <x v="0"/>
    <s v="30106/2026"/>
    <s v="credito"/>
    <s v="Entrada de Receita"/>
    <s v="Fatura para LC Industria e Comercio de Frutas LTDA, 60.369.979/0001-00,  referente à parcela 01/04 conforme convênio 02/2026."/>
    <n v="27500"/>
  </r>
  <r>
    <x v="1"/>
    <d v="2026-07-08T00:00:00"/>
    <x v="0"/>
    <x v="0"/>
    <x v="1"/>
    <s v="31467/2026"/>
    <s v="debito"/>
    <s v="Transferência entre Projetos"/>
    <s v="Transferência do projeto &quot;375 - IFAM 2026-006 - Bio Caroço (15334-6)&quot; para &quot;164 - FAEPI - RATEIOS E TRIBUTOS (12266-1)&quot;, referente a Documento de Arrecadação Municipal  DAM Mensal de JUNHO/2026- ISSQN-NFSe-n. 106."/>
    <n v="-1375"/>
  </r>
  <r>
    <x v="2"/>
    <d v="2026-07-10T00:00:00"/>
    <x v="0"/>
    <x v="0"/>
    <x v="1"/>
    <s v="32089/2026"/>
    <s v="debito"/>
    <s v="Transferência entre Projetos"/>
    <s v="Transferência do projeto &quot;375 - IFAM 2026-006 - Bio Caroço (15334-6)&quot; para &quot;164 - FAEPI - RATEIOS E TRIBUTOS (12266-1)&quot;, referente a Documento de Arrecadação Municipal  DAM Mensal de JUNHO/2026- ISSQN-NFSe-n. 98. Nota Fiscal em processo de cancelamento."/>
    <n v="-2750"/>
  </r>
  <r>
    <x v="3"/>
    <d v="2026-07-31T00:00:00"/>
    <x v="0"/>
    <x v="0"/>
    <x v="2"/>
    <s v="38370/2026"/>
    <s v="credito"/>
    <s v="Aplicação Financeira"/>
    <s v="Rendimento de aplicação financeira ref. a Julho de 2026."/>
    <n v="184.68"/>
  </r>
  <r>
    <x v="3"/>
    <d v="2026-07-31T00:00:00"/>
    <x v="0"/>
    <x v="0"/>
    <x v="2"/>
    <s v="38370/2026"/>
    <s v="debito"/>
    <s v="IRRF Pessoa Jurídica"/>
    <s v="Rendimento de aplicação financeira ref. a Julho de 2026."/>
    <n v="-1.34"/>
  </r>
  <r>
    <x v="3"/>
    <d v="2026-07-31T00:00:00"/>
    <x v="0"/>
    <x v="0"/>
    <x v="2"/>
    <s v="38370/2026"/>
    <s v="debito"/>
    <s v="IOF"/>
    <s v="Rendimento de aplicação financeira ref. a Julho de 2026."/>
    <n v="-10.92"/>
  </r>
  <r>
    <x v="4"/>
    <d v="2026-08-31T00:00:00"/>
    <x v="1"/>
    <x v="0"/>
    <x v="2"/>
    <s v="45088/2026"/>
    <s v="credito"/>
    <s v="Aplicação Financeira"/>
    <s v="Rendimento de aplicação financeira ref. a Agosto de 2026."/>
    <n v="154.41"/>
  </r>
  <r>
    <x v="4"/>
    <d v="2026-08-31T00:00:00"/>
    <x v="1"/>
    <x v="0"/>
    <x v="2"/>
    <s v="45088/2026"/>
    <s v="debito"/>
    <s v="IRRF Pessoa Jurídica"/>
    <s v="IRRF Retenção Pessoa Jurídica: Rendimento de aplicação financeira ref. a Agosto de 2026."/>
    <n v="-6.32"/>
  </r>
  <r>
    <x v="5"/>
    <d v="2026-09-30T00:00:00"/>
    <x v="2"/>
    <x v="0"/>
    <x v="2"/>
    <s v="53072/2026"/>
    <s v="credito"/>
    <s v="Aplicação Financeira"/>
    <s v="Rendimento de aplicação financeira ref. a Setembro de 2026."/>
    <n v="127.46"/>
  </r>
  <r>
    <x v="5"/>
    <d v="2026-09-30T00:00:00"/>
    <x v="2"/>
    <x v="0"/>
    <x v="2"/>
    <s v="53072/2026"/>
    <s v="debito"/>
    <s v="IRRF Pessoa Jurídica"/>
    <s v="IRRF Retenção Pessoa Jurídica: Rendimento de aplicação financeira ref. a Setembro de 2026."/>
    <n v="-12.34"/>
  </r>
  <r>
    <x v="6"/>
    <d v="2026-10-20T00:00:00"/>
    <x v="3"/>
    <x v="0"/>
    <x v="2"/>
    <s v="56221/2026"/>
    <s v="credito"/>
    <s v="Aplicação Financeira"/>
    <s v="Rendimento de aplicação financeira ref. a Out. 2026"/>
    <n v="68.54000000000001"/>
  </r>
  <r>
    <x v="6"/>
    <d v="2026-10-20T00:00:00"/>
    <x v="3"/>
    <x v="0"/>
    <x v="2"/>
    <s v="56221/2026"/>
    <s v="debito"/>
    <s v="IRRF Pessoa Jurídica"/>
    <s v="Rendimento de aplicação financeira ref. a Out. 2026"/>
    <n v="-18.08"/>
  </r>
  <r>
    <x v="7"/>
    <d v="2026-07-17T00:00:00"/>
    <x v="0"/>
    <x v="0"/>
    <x v="3"/>
    <s v="32815/2026"/>
    <s v="debito"/>
    <s v="Pagamento de Bolsa Pesquisa"/>
    <s v="Pagamento bolsa para Geziel Sena Colares, 83403876268, referente à parcela 01/08."/>
    <n v="-2800"/>
  </r>
  <r>
    <x v="8"/>
    <d v="2026-08-06T00:00:00"/>
    <x v="1"/>
    <x v="0"/>
    <x v="3"/>
    <s v="38605/2026"/>
    <s v="debito"/>
    <s v="Pagamento de Bolsa Pesquisa"/>
    <s v="Pagamento bolsa para Geziel Sena Colares, 83403876268, referente à parcela 02/08."/>
    <n v="-2800"/>
  </r>
  <r>
    <x v="9"/>
    <d v="2026-09-09T00:00:00"/>
    <x v="2"/>
    <x v="0"/>
    <x v="3"/>
    <s v="45718/2026"/>
    <s v="debito"/>
    <s v="Pagamento de Bolsa Pesquisa"/>
    <s v="Pagamento bolsa para Geziel Sena Colares, 83403876268, referente à parcela 03/08."/>
    <n v="-2800"/>
  </r>
  <r>
    <x v="10"/>
    <d v="2026-10-13T00:00:00"/>
    <x v="3"/>
    <x v="0"/>
    <x v="3"/>
    <s v="53332/2026"/>
    <s v="debito"/>
    <s v="Pagamento de Bolsa Pesquisa"/>
    <s v="Pagamento bolsa para Geziel Sena Colares, 83403876268, referente à parcela 04/08."/>
    <n v="-2800"/>
  </r>
  <r>
    <x v="11"/>
    <d v="2026-08-21T00:00:00"/>
    <x v="1"/>
    <x v="0"/>
    <x v="4"/>
    <s v="41280/2026"/>
    <s v="debito"/>
    <s v="Transferência entre Projetos"/>
    <s v="Transferência do projeto &quot;375 - IFAM 2026-006 - Bio Caroço (15334-6)&quot; para &quot;61 - IFAM USO COMP. - RATEIO (10960-6)&quot;, referente ao rateio do Serviço de Internet Banda Larga - OFÍCIO N 044/2026 POLO/INOVA/IFAM."/>
    <n v="-128.58"/>
  </r>
  <r>
    <x v="12"/>
    <d v="2026-09-17T00:00:00"/>
    <x v="2"/>
    <x v="0"/>
    <x v="4"/>
    <s v="47004/2026"/>
    <s v="debito"/>
    <s v="Transferência entre Projetos"/>
    <s v="Transferência do projeto &quot;375 - IFAM 2026-006 - Bio Caroço (15334-6)&quot; para &quot;61 - IFAM USO COMP. - RATEIO (10960-6)&quot;, referente  ao rateio do Serviço de Internet Banda Larga - OFÍCIO N 044/2026 POLO/INOVA/IFAM."/>
    <n v="-128.57"/>
  </r>
  <r>
    <x v="13"/>
    <d v="2026-10-08T00:00:00"/>
    <x v="3"/>
    <x v="0"/>
    <x v="4"/>
    <s v="52834/2026"/>
    <s v="debito"/>
    <s v="Transferência entre Projetos"/>
    <s v="Transferência do projeto &quot;375 - IFAM 2026-006 - Bio Caroço (15334-6)&quot; para &quot;61 - IFAM USO COMP. - RATEIO (10960-6)&quot;,  referente ao rateio do Serviço de Internet Banda Larga - OFÍCIO N 044/2026 POLO/INOVA/IFAM."/>
    <n v="-128.57"/>
  </r>
  <r>
    <x v="14"/>
    <d v="2026-10-13T00:00:00"/>
    <x v="3"/>
    <x v="0"/>
    <x v="4"/>
    <s v="53413/2026"/>
    <s v="debito"/>
    <s v="Provisionamento de compra"/>
    <s v="Provisionamento de recurso para compra de Serviço de Computação em Nuvem - AWS. Solicitado no Ofício 017/2026."/>
    <n v="-8100"/>
  </r>
  <r>
    <x v="15"/>
    <d v="2026-10-14T00:00:00"/>
    <x v="3"/>
    <x v="0"/>
    <x v="4"/>
    <s v="53413/2026"/>
    <s v="credito"/>
    <s v="Provisionamento de compra"/>
    <s v="ESTORNO: Provisionamento de recurso para compra de Serviço de Computação em Nuvem - AWS. Solicitado no Ofício 017/2026."/>
    <n v="8100"/>
  </r>
  <r>
    <x v="16"/>
    <d v="2026-10-15T00:00:00"/>
    <x v="3"/>
    <x v="0"/>
    <x v="4"/>
    <s v="53413/2026"/>
    <s v="debito"/>
    <s v="Provisionamento de compra"/>
    <s v="Provisionamento de recurso para Serviço de Computação em Nuvem - AWS. Solicitado no Ofício 017/2026."/>
    <n v="-8100"/>
  </r>
  <r>
    <x v="17"/>
    <d v="2026-07-02T00:00:00"/>
    <x v="0"/>
    <x v="0"/>
    <x v="5"/>
    <s v="31352/2026"/>
    <s v="debito"/>
    <s v="Pagamento de Despesa Administrativa e Financeira"/>
    <s v="Pagamento de serviços bancários"/>
    <n v="-34.5"/>
  </r>
  <r>
    <x v="2"/>
    <d v="2026-07-10T00:00:00"/>
    <x v="0"/>
    <x v="0"/>
    <x v="5"/>
    <s v="38375/2026"/>
    <s v="debito"/>
    <s v="Pagamento de Despesa Administrativa e Financeira"/>
    <s v="Pagamento de serviços bancários"/>
    <n v="-1.7"/>
  </r>
  <r>
    <x v="18"/>
    <d v="2026-08-04T00:00:00"/>
    <x v="1"/>
    <x v="0"/>
    <x v="5"/>
    <s v="45087/2026"/>
    <s v="debito"/>
    <s v="Pagamento de Despesa Administrativa e Financeira"/>
    <s v="Tarifa bancária do projeto 375 - IFAM 2026-006 - Bio Caroço (15334-6) importada do arquivo de extrato para conciliação bancária."/>
    <n v="-34.5"/>
  </r>
  <r>
    <x v="19"/>
    <d v="2026-09-02T00:00:00"/>
    <x v="2"/>
    <x v="0"/>
    <x v="5"/>
    <s v="47645/2026"/>
    <s v="debito"/>
    <s v="Pagamento de Despesa Administrativa e Financeira"/>
    <s v="Tarifa bancária do projeto 375 - IFAM 2026-006 - Bio Caroço (15334-6) importada do arquivo de extrato para conciliação bancária."/>
    <n v="-34.5"/>
  </r>
  <r>
    <x v="20"/>
    <d v="2026-10-02T00:00:00"/>
    <x v="3"/>
    <x v="0"/>
    <x v="5"/>
    <s v="53071/2026"/>
    <s v="debito"/>
    <s v="Pagamento de Despesa Administrativa e Financeira"/>
    <s v="Tarifa bancária do projeto 375 - IFAM 2026-006 - Bio Caroço (15334-6) importada do arquivo de extrato para conciliação bancária."/>
    <n v="-34.5"/>
  </r>
  <r>
    <x v="3"/>
    <d v="2026-07-31T00:00:00"/>
    <x v="0"/>
    <x v="1"/>
    <x v="2"/>
    <s v="38377/2026"/>
    <s v="credito"/>
    <s v="Aplicação Financeira"/>
    <s v="Rendimento de aplicação financeira ref. a Julho de 2026."/>
    <n v="986.6900000000001"/>
  </r>
  <r>
    <x v="3"/>
    <d v="2026-07-31T00:00:00"/>
    <x v="0"/>
    <x v="1"/>
    <x v="2"/>
    <s v="38377/2026"/>
    <s v="debito"/>
    <s v="IRRF Pessoa Jurídica"/>
    <s v="Rendimento de aplicação financeira ref. a Julho de 2026."/>
    <n v="-1.77"/>
  </r>
  <r>
    <x v="3"/>
    <d v="2026-07-31T00:00:00"/>
    <x v="0"/>
    <x v="1"/>
    <x v="2"/>
    <s v="38377/2026"/>
    <s v="debito"/>
    <s v="IOF"/>
    <s v="Rendimento de aplicação financeira ref. a Julho de 2026."/>
    <n v="-21.31"/>
  </r>
  <r>
    <x v="4"/>
    <d v="2026-08-31T00:00:00"/>
    <x v="1"/>
    <x v="1"/>
    <x v="2"/>
    <s v="45096/2026"/>
    <s v="credito"/>
    <s v="Aplicação Financeira"/>
    <s v="Rendimento de aplicação financeira ref. a Agosto de 2026."/>
    <n v="795.84"/>
  </r>
  <r>
    <x v="4"/>
    <d v="2026-08-31T00:00:00"/>
    <x v="1"/>
    <x v="1"/>
    <x v="2"/>
    <s v="45096/2026"/>
    <s v="debito"/>
    <s v="IRRF Pessoa Jurídica"/>
    <s v="IRRF Retenção Pessoa Jurídica: Rendimento de aplicação financeira ref. a Agosto de 2026."/>
    <n v="-117.23"/>
  </r>
  <r>
    <x v="4"/>
    <d v="2026-08-31T00:00:00"/>
    <x v="1"/>
    <x v="1"/>
    <x v="2"/>
    <s v="45096/2026"/>
    <s v="debito"/>
    <s v="IOF"/>
    <s v="IOF: Rendimento de aplicação financeira ref. a Agosto de 2026."/>
    <n v="-20.95"/>
  </r>
  <r>
    <x v="5"/>
    <d v="2026-09-30T00:00:00"/>
    <x v="2"/>
    <x v="1"/>
    <x v="2"/>
    <s v="53076/2026"/>
    <s v="credito"/>
    <s v="Aplicação Financeira"/>
    <s v="Rendimento de aplicação financeira ref. a Setembro de 2026."/>
    <n v="321.37"/>
  </r>
  <r>
    <x v="5"/>
    <d v="2026-09-30T00:00:00"/>
    <x v="2"/>
    <x v="1"/>
    <x v="2"/>
    <s v="53076/2026"/>
    <s v="debito"/>
    <s v="IRRF Pessoa Jurídica"/>
    <s v="IRRF Retenção Pessoa Jurídica: Rendimento de aplicação financeira ref. a Setembro de 2026."/>
    <n v="-200.93"/>
  </r>
  <r>
    <x v="6"/>
    <d v="2026-10-20T00:00:00"/>
    <x v="3"/>
    <x v="1"/>
    <x v="2"/>
    <s v="56224/2026"/>
    <s v="credito"/>
    <s v="Aplicação Financeira"/>
    <s v="Rendimento de aplicação financeira ref. a Out. 2026"/>
    <n v="107.99"/>
  </r>
  <r>
    <x v="6"/>
    <d v="2026-10-20T00:00:00"/>
    <x v="3"/>
    <x v="1"/>
    <x v="2"/>
    <s v="56224/2026"/>
    <s v="debito"/>
    <s v="IRRF Pessoa Jurídica"/>
    <s v="Rendimento de aplicação financeira ref. a Out. 2026"/>
    <n v="-95.15000000000001"/>
  </r>
  <r>
    <x v="1"/>
    <d v="2026-07-08T00:00:00"/>
    <x v="0"/>
    <x v="1"/>
    <x v="0"/>
    <s v="31353/2026"/>
    <s v="credito"/>
    <s v="Transferência entre Projetos"/>
    <s v="Transferência do projeto &quot;378 - IFAM 2026-007 - IFAM - SEBRAE MATRIZ 2026 (15.336-2)&quot; para &quot;376 - IFAM 2026-006 - Bio Caroço SEBRAE (15335-4)&quot;, referente a recurso previsto para a conta SEBRAE do projeto Bio Caroço."/>
    <n v="150000"/>
  </r>
  <r>
    <x v="7"/>
    <d v="2026-07-17T00:00:00"/>
    <x v="0"/>
    <x v="1"/>
    <x v="3"/>
    <s v="32816/2026"/>
    <s v="debito"/>
    <s v="Pagamento de Bolsa Pesquisa"/>
    <s v="Pagamento bolsa para Wenndisson da Silva Souza, 00390179230, referente à parcela 01/09."/>
    <n v="-12000"/>
  </r>
  <r>
    <x v="8"/>
    <d v="2026-08-06T00:00:00"/>
    <x v="1"/>
    <x v="1"/>
    <x v="3"/>
    <s v="38606/2026"/>
    <s v="debito"/>
    <s v="Pagamento de Bolsa Pesquisa"/>
    <s v="Pagamento bolsa para Wenndisson da Silva Souza, 00390179230, referente à parcela 02/09."/>
    <n v="-12000"/>
  </r>
  <r>
    <x v="8"/>
    <d v="2026-08-06T00:00:00"/>
    <x v="1"/>
    <x v="1"/>
    <x v="3"/>
    <s v="38607/2026"/>
    <s v="debito"/>
    <s v="Pagamento de Bolsa Pesquisa"/>
    <s v="Pagamento bolsa para Gabriel Silveira Alencar, 00548625239, referente à parcela 01/09."/>
    <n v="-5000"/>
  </r>
  <r>
    <x v="8"/>
    <d v="2026-08-06T00:00:00"/>
    <x v="1"/>
    <x v="1"/>
    <x v="3"/>
    <s v="38608/2026"/>
    <s v="debito"/>
    <s v="Pagamento de Bolsa Pesquisa"/>
    <s v="Pagamento bolsa para Gabriel Silveira Alencar, 00548625239, referente à parcela 02/09."/>
    <n v="-5000"/>
  </r>
  <r>
    <x v="8"/>
    <d v="2026-08-06T00:00:00"/>
    <x v="1"/>
    <x v="1"/>
    <x v="3"/>
    <s v="38609/2026"/>
    <s v="debito"/>
    <s v="Pagamento de Bolsa Pesquisa"/>
    <s v="Pagamento bolsa para EDUARDO PALHARES JUNIOR, 36861809870, referente à parcela 01/09."/>
    <n v="-7000"/>
  </r>
  <r>
    <x v="8"/>
    <d v="2026-08-06T00:00:00"/>
    <x v="1"/>
    <x v="1"/>
    <x v="3"/>
    <s v="38610/2026"/>
    <s v="debito"/>
    <s v="Pagamento de Bolsa Pesquisa"/>
    <s v="Pgto. Bolsa para NOBUYUKI ANDRADE ASHIBE, 00209299274, ref. ao mês 06/2026, parcela 01/09."/>
    <n v="-2000"/>
  </r>
  <r>
    <x v="8"/>
    <d v="2026-08-06T00:00:00"/>
    <x v="1"/>
    <x v="1"/>
    <x v="3"/>
    <s v="38610/2026"/>
    <s v="debito"/>
    <s v="Pagamento de Bolsa Pesquisa"/>
    <s v="Pgto. Bolsa para Jose Mario Castro de Amaral, 07015698242, ref. ao mês 06/2026, parcela 01/09."/>
    <n v="-2000"/>
  </r>
  <r>
    <x v="8"/>
    <d v="2026-08-06T00:00:00"/>
    <x v="1"/>
    <x v="1"/>
    <x v="3"/>
    <s v="38610/2026"/>
    <s v="debito"/>
    <s v="Pagamento de Bolsa Pesquisa"/>
    <s v="Pgto. Bolsa para Bruno César Falcão, 04572634238, ref. ao mês 06/2026, parcela 01/09."/>
    <n v="-2000"/>
  </r>
  <r>
    <x v="8"/>
    <d v="2026-08-06T00:00:00"/>
    <x v="1"/>
    <x v="1"/>
    <x v="3"/>
    <s v="38610/2026"/>
    <s v="debito"/>
    <s v="Pagamento de Bolsa Pesquisa"/>
    <s v="Pgto. Bolsa para Gabriel Nogueira de Lima, 00686343239, ref. ao mês 06/2026, parcela 01/09."/>
    <n v="-2000"/>
  </r>
  <r>
    <x v="8"/>
    <d v="2026-08-06T00:00:00"/>
    <x v="1"/>
    <x v="1"/>
    <x v="3"/>
    <s v="38612/2026"/>
    <s v="debito"/>
    <s v="Pagamento de Bolsa Pesquisa"/>
    <s v="Pgto. Bolsa para NOBUYUKI ANDRADE ASHIBE, 00209299274, ref. ao mês 07/2026, parcela 02/09."/>
    <n v="-2000"/>
  </r>
  <r>
    <x v="8"/>
    <d v="2026-08-06T00:00:00"/>
    <x v="1"/>
    <x v="1"/>
    <x v="3"/>
    <s v="38612/2026"/>
    <s v="debito"/>
    <s v="Pagamento de Bolsa Pesquisa"/>
    <s v="Pgto. Bolsa para Jose Mario Castro de Amaral, 07015698242, ref. ao mês 07/2026, parcela 02/09."/>
    <n v="-2000"/>
  </r>
  <r>
    <x v="8"/>
    <d v="2026-08-06T00:00:00"/>
    <x v="1"/>
    <x v="1"/>
    <x v="3"/>
    <s v="38612/2026"/>
    <s v="debito"/>
    <s v="Pagamento de Bolsa Pesquisa"/>
    <s v="Pgto. Bolsa para Bruno César Falcão, 04572634238, ref. ao mês 07/2026, parcela 02/09."/>
    <n v="-2000"/>
  </r>
  <r>
    <x v="21"/>
    <d v="2026-08-18T00:00:00"/>
    <x v="1"/>
    <x v="1"/>
    <x v="3"/>
    <s v="40212/2026"/>
    <s v="debito"/>
    <s v="Pagamento de Bolsa Pesquisa"/>
    <s v="Pagamento bolsa para Liane de Oliveira Calais Sobreira, 66831555268, referente à parcela 01/09."/>
    <n v="-5000"/>
  </r>
  <r>
    <x v="21"/>
    <d v="2026-08-18T00:00:00"/>
    <x v="1"/>
    <x v="1"/>
    <x v="3"/>
    <s v="40214/2026"/>
    <s v="debito"/>
    <s v="Pagamento de Bolsa Pesquisa"/>
    <s v="Pagamento bolsa para RAFAEL FREIRE COUTO DA SILVA, 70386477418, referente à parcela 01/09."/>
    <n v="-2000"/>
  </r>
  <r>
    <x v="21"/>
    <d v="2026-08-18T00:00:00"/>
    <x v="1"/>
    <x v="1"/>
    <x v="3"/>
    <s v="40215/2026"/>
    <s v="debito"/>
    <s v="Pagamento de Bolsa Pesquisa"/>
    <s v="Pagamento bolsa para Gabriel Clávila Soares, 52868826253, referente à parcela 01/09."/>
    <n v="-5000"/>
  </r>
  <r>
    <x v="21"/>
    <d v="2026-08-18T00:00:00"/>
    <x v="1"/>
    <x v="1"/>
    <x v="3"/>
    <s v="40216/2026"/>
    <s v="debito"/>
    <s v="Pagamento de Bolsa Pesquisa"/>
    <s v="Pagamento bolsa para Sandro Haiden Teixeira , 04258764205, referente à parcela 01/09."/>
    <n v="-5000"/>
  </r>
  <r>
    <x v="22"/>
    <d v="2026-09-04T00:00:00"/>
    <x v="2"/>
    <x v="1"/>
    <x v="3"/>
    <s v="45272/2026"/>
    <s v="debito"/>
    <s v="Pagamento de Bolsa Pesquisa"/>
    <s v="Pagamento bolsa para Wenndisson da Silva Souza, 00390179230, referente à parcela 03/09."/>
    <n v="-12000"/>
  </r>
  <r>
    <x v="9"/>
    <d v="2026-09-09T00:00:00"/>
    <x v="2"/>
    <x v="1"/>
    <x v="3"/>
    <s v="45719/2026"/>
    <s v="debito"/>
    <s v="Pagamento de Bolsa Pesquisa"/>
    <s v="Pagamento bolsa para Gabriel Silveira Alencar, 00548625239, referente à parcela 03/09."/>
    <n v="-5000"/>
  </r>
  <r>
    <x v="9"/>
    <d v="2026-09-09T00:00:00"/>
    <x v="2"/>
    <x v="1"/>
    <x v="3"/>
    <s v="45720/2026"/>
    <s v="debito"/>
    <s v="Pagamento de Bolsa Pesquisa"/>
    <s v="Pagamento bolsa para NOBUYUKI ANDRADE ASHIBE, 00209299274, referente à parcela 03/09."/>
    <n v="-2000"/>
  </r>
  <r>
    <x v="9"/>
    <d v="2026-09-09T00:00:00"/>
    <x v="2"/>
    <x v="1"/>
    <x v="3"/>
    <s v="45721/2026"/>
    <s v="debito"/>
    <s v="Pagamento de Bolsa Pesquisa"/>
    <s v="Pagamento bolsa para Bruno César Falcão, 04572634238, referente à parcela 03/09."/>
    <n v="-2000"/>
  </r>
  <r>
    <x v="9"/>
    <d v="2026-09-09T00:00:00"/>
    <x v="2"/>
    <x v="1"/>
    <x v="3"/>
    <s v="45722/2026"/>
    <s v="debito"/>
    <s v="Pagamento de Bolsa Pesquisa"/>
    <s v="Pagamento bolsa para EDUARDO PALHARES JUNIOR, 36861809870, referente à parcela 02/09."/>
    <n v="-7000"/>
  </r>
  <r>
    <x v="9"/>
    <d v="2026-09-09T00:00:00"/>
    <x v="2"/>
    <x v="1"/>
    <x v="3"/>
    <s v="45723/2026"/>
    <s v="debito"/>
    <s v="Pagamento de Bolsa Pesquisa"/>
    <s v="Pagamento bolsa para EDUARDO PALHARES JUNIOR, 36861809870, referente à parcela 03/09."/>
    <n v="-7000"/>
  </r>
  <r>
    <x v="9"/>
    <d v="2026-09-09T00:00:00"/>
    <x v="2"/>
    <x v="1"/>
    <x v="3"/>
    <s v="45724/2026"/>
    <s v="debito"/>
    <s v="Pagamento de Bolsa Pesquisa"/>
    <s v="Pagamento bolsa para Gabriel Clávila Soares, 52868826253, referente à parcela 02/09."/>
    <n v="-5000"/>
  </r>
  <r>
    <x v="9"/>
    <d v="2026-09-09T00:00:00"/>
    <x v="2"/>
    <x v="1"/>
    <x v="3"/>
    <s v="45725/2026"/>
    <s v="debito"/>
    <s v="Pagamento de Bolsa Pesquisa"/>
    <s v="Pagamento bolsa para Sandro Haiden Teixeira , 04258764205, referente à parcela 02/09."/>
    <n v="-5000"/>
  </r>
  <r>
    <x v="23"/>
    <d v="2026-09-11T00:00:00"/>
    <x v="2"/>
    <x v="1"/>
    <x v="3"/>
    <s v="45940/2026"/>
    <s v="debito"/>
    <s v="Pagamento de Bolsa Pesquisa"/>
    <s v="Pagamento bolsa para RAFAEL FREIRE COUTO DA SILVA, 70386477418, referente à parcela 02/09."/>
    <n v="-2000"/>
  </r>
  <r>
    <x v="23"/>
    <d v="2026-09-11T00:00:00"/>
    <x v="2"/>
    <x v="1"/>
    <x v="3"/>
    <s v="46007/2026"/>
    <s v="debito"/>
    <s v="Pagamento de Bolsa Pesquisa"/>
    <s v="Pagamento bolsa para Liane de Oliveira Calais Sobreira, 66831555268, referente à parcela 02/09."/>
    <n v="-5000"/>
  </r>
  <r>
    <x v="10"/>
    <d v="2026-10-13T00:00:00"/>
    <x v="3"/>
    <x v="1"/>
    <x v="3"/>
    <s v="53335/2026"/>
    <s v="debito"/>
    <s v="Pagamento de Bolsa Pesquisa"/>
    <s v="Pagamento bolsa para Bruno César Falcão, 04572634238, referente à parcela 04/09."/>
    <n v="-2000"/>
  </r>
  <r>
    <x v="10"/>
    <d v="2026-10-13T00:00:00"/>
    <x v="3"/>
    <x v="1"/>
    <x v="3"/>
    <s v="53341/2026"/>
    <s v="debito"/>
    <s v="Pagamento de Bolsa Pesquisa"/>
    <s v="Pagamento bolsa para Gabriel Clávila Soares, 52868826253, referente à parcela 03/09."/>
    <n v="-5000"/>
  </r>
  <r>
    <x v="14"/>
    <d v="2026-10-14T00:00:00"/>
    <x v="3"/>
    <x v="1"/>
    <x v="3"/>
    <s v="53408/2026"/>
    <s v="debito"/>
    <s v="Pagamento de Bolsa Pesquisa"/>
    <s v="Pagamento bolsa para Liane de Oliveira Calais Sobreira, 66831555268, referente à parcela 03/09."/>
    <n v="-5000"/>
  </r>
  <r>
    <x v="16"/>
    <d v="2026-10-16T00:00:00"/>
    <x v="3"/>
    <x v="1"/>
    <x v="3"/>
    <s v="54369/2026"/>
    <s v="debito"/>
    <s v="Pagamento de Bolsa Pesquisa"/>
    <s v="Pagamento bolsa para RAFAEL FREIRE COUTO DA SILVA, 70386477418, referente à parcela 03/09."/>
    <n v="-2000"/>
  </r>
  <r>
    <x v="16"/>
    <d v="2026-10-16T00:00:00"/>
    <x v="3"/>
    <x v="1"/>
    <x v="3"/>
    <s v="54370/2026"/>
    <s v="debito"/>
    <s v="Pagamento de Bolsa Pesquisa"/>
    <s v="Pagamento bolsa para RAFAEL FREIRE COUTO DA SILVA, 70386477418, referente à parcela 04/09."/>
    <n v="-2000"/>
  </r>
  <r>
    <x v="24"/>
    <d v="2026-07-17T00:00:00"/>
    <x v="0"/>
    <x v="1"/>
    <x v="5"/>
    <s v="38372/2026"/>
    <s v="debito"/>
    <s v="Pagamento de Despesa Administrativa e Financeira"/>
    <s v="Tarifa bancária do projeto 376 - IFAM 2026-006 - Bio Caroço SEBRAE (15335-4) importada do arquivo de extrato para conciliação bancária."/>
    <n v="-3.16"/>
  </r>
  <r>
    <x v="18"/>
    <d v="2026-08-04T00:00:00"/>
    <x v="1"/>
    <x v="1"/>
    <x v="5"/>
    <s v="45091/2026"/>
    <s v="debito"/>
    <s v="Pagamento de Despesa Administrativa e Financeira"/>
    <s v="Tarifa bancária do projeto 376 - IFAM 2026-006 - Bio Caroço SEBRAE (15335-4) importada do arquivo de extrato para conciliação bancária."/>
    <n v="-34.5"/>
  </r>
  <r>
    <x v="25"/>
    <d v="2026-08-06T00:00:00"/>
    <x v="1"/>
    <x v="1"/>
    <x v="5"/>
    <s v="45095/2026"/>
    <s v="debito"/>
    <s v="Pagamento de Despesa Administrativa e Financeira"/>
    <s v="Tarifa bancária do projeto 376 - IFAM 2026-006 - Bio Caroço SEBRAE (15335-4) importada do arquivo de extrato para conciliação bancária."/>
    <n v="-28.44"/>
  </r>
  <r>
    <x v="26"/>
    <d v="2026-08-18T00:00:00"/>
    <x v="1"/>
    <x v="1"/>
    <x v="5"/>
    <s v="45093/2026"/>
    <s v="debito"/>
    <s v="Pagamento de Despesa Administrativa e Financeira"/>
    <s v="Tarifa bancária do projeto 376 - IFAM 2026-006 - Bio Caroço SEBRAE (15335-4) importada do arquivo de extrato para conciliação bancária."/>
    <n v="-12.64"/>
  </r>
  <r>
    <x v="19"/>
    <d v="2026-09-02T00:00:00"/>
    <x v="2"/>
    <x v="1"/>
    <x v="5"/>
    <s v="47792/2026"/>
    <s v="debito"/>
    <s v="Pagamento de Despesa Administrativa e Financeira"/>
    <s v="Tarifa bancária do projeto 376 - IFAM 2026-006 - Bio Caroço SEBRAE (15335-4) importada do arquivo de extrato para conciliação bancária."/>
    <n v="-34.5"/>
  </r>
  <r>
    <x v="27"/>
    <d v="2026-09-04T00:00:00"/>
    <x v="2"/>
    <x v="1"/>
    <x v="5"/>
    <s v="47794/2026"/>
    <s v="debito"/>
    <s v="Pagamento de Despesa Administrativa e Financeira"/>
    <s v="Tarifa bancária do projeto 376 - IFAM 2026-006 - Bio Caroço SEBRAE (15335-4) importada do arquivo de extrato para conciliação bancária."/>
    <n v="-3.16"/>
  </r>
  <r>
    <x v="23"/>
    <d v="2026-09-09T00:00:00"/>
    <x v="2"/>
    <x v="1"/>
    <x v="5"/>
    <s v="47798/2026"/>
    <s v="debito"/>
    <s v="Pagamento de Despesa Administrativa e Financeira"/>
    <s v="Tarifa bancária do projeto 376 - IFAM 2026-006 - Bio Caroço SEBRAE (15335-4) importada do arquivo de extrato para conciliação bancária."/>
    <n v="-18.96"/>
  </r>
  <r>
    <x v="28"/>
    <d v="2026-09-11T00:00:00"/>
    <x v="2"/>
    <x v="1"/>
    <x v="5"/>
    <s v="47796/2026"/>
    <s v="debito"/>
    <s v="Pagamento de Despesa Administrativa e Financeira"/>
    <s v="Tarifa bancária do projeto 376 - IFAM 2026-006 - Bio Caroço SEBRAE (15335-4) importada do arquivo de extrato para conciliação bancária."/>
    <n v="-6.32"/>
  </r>
  <r>
    <x v="20"/>
    <d v="2026-10-02T00:00:00"/>
    <x v="3"/>
    <x v="1"/>
    <x v="5"/>
    <s v="53075/2026"/>
    <s v="debito"/>
    <s v="Pagamento de Despesa Administrativa e Financeira"/>
    <s v="Tarifa bancária do projeto 376 - IFAM 2026-006 - Bio Caroço SEBRAE (15335-4) importada do arquivo de extrato para conciliação bancária."/>
    <n v="-34.5"/>
  </r>
  <r>
    <x v="14"/>
    <d v="2026-10-13T00:00:00"/>
    <x v="3"/>
    <x v="1"/>
    <x v="5"/>
    <s v="56229/2026"/>
    <s v="debito"/>
    <s v="Pagamento de Despesa Administrativa e Financeira"/>
    <s v="Tarifa bancÃ¡ria do projeto 376 - IFAM 2026-006 - Bio Caroço SEBRAE (15335-4) importada do arquivo de extrato para conciliaÃ§Ã£o bancÃ¡ria."/>
    <n v="-3.16"/>
  </r>
  <r>
    <x v="15"/>
    <d v="2026-10-14T00:00:00"/>
    <x v="3"/>
    <x v="1"/>
    <x v="5"/>
    <s v="56231/2026"/>
    <s v="debito"/>
    <s v="Pagamento de Despesa Administrativa e Financeira"/>
    <s v="Tarifa bancÃ¡ria do projeto 376 - IFAM 2026-006 - Bio Caroço SEBRAE (15335-4) importada do arquivo de extrato para conciliaÃ§Ã£o bancÃ¡ria."/>
    <n v="-3.16"/>
  </r>
  <r>
    <x v="29"/>
    <d v="2026-10-16T00:00:00"/>
    <x v="3"/>
    <x v="1"/>
    <x v="5"/>
    <s v="56227/2026"/>
    <s v="debito"/>
    <s v="Pagamento de Despesa Administrativa e Financeira"/>
    <s v="Tarifa bancÃ¡ria do projeto 376 - IFAM 2026-006 - Bio Caroço SEBRAE (15335-4) importada do arquivo de extrato para conciliaÃ§Ã£o bancÃ¡ria."/>
    <n v="-6.32"/>
  </r>
  <r>
    <x v="30"/>
    <d v="2026-06-30T00:00:00"/>
    <x v="4"/>
    <x v="2"/>
    <x v="2"/>
    <s v="30460/2026"/>
    <s v="credito"/>
    <s v="Aplicação Financeira"/>
    <s v="Rendimento de aplicação financeira ref. a Junho de 2026."/>
    <n v="334.52"/>
  </r>
  <r>
    <x v="3"/>
    <d v="2026-07-31T00:00:00"/>
    <x v="0"/>
    <x v="2"/>
    <x v="2"/>
    <s v="38384/2026"/>
    <s v="credito"/>
    <s v="Aplicação Financeira"/>
    <s v="Rendimento de aplicação financeira ref. a Julho de 2026."/>
    <n v="972.5"/>
  </r>
  <r>
    <x v="3"/>
    <d v="2026-07-31T00:00:00"/>
    <x v="0"/>
    <x v="2"/>
    <x v="2"/>
    <s v="38384/2026"/>
    <s v="debito"/>
    <s v="IRRF Pessoa Jurídica"/>
    <s v="Rendimento de aplicação financeira ref. a Julho de 2026."/>
    <n v="-0.01"/>
  </r>
  <r>
    <x v="3"/>
    <d v="2026-07-31T00:00:00"/>
    <x v="0"/>
    <x v="2"/>
    <x v="2"/>
    <s v="38384/2026"/>
    <s v="debito"/>
    <s v="IOF"/>
    <s v="Rendimento de aplicação financeira ref. a Julho de 2026."/>
    <n v="-0.07000000000000001"/>
  </r>
  <r>
    <x v="4"/>
    <d v="2026-08-31T00:00:00"/>
    <x v="1"/>
    <x v="2"/>
    <x v="2"/>
    <s v="45099/2026"/>
    <s v="credito"/>
    <s v="Aplicação Financeira"/>
    <s v="Rendimento de aplicação financeira ref. a Agosto de 2026."/>
    <n v="859.45"/>
  </r>
  <r>
    <x v="4"/>
    <d v="2026-08-31T00:00:00"/>
    <x v="1"/>
    <x v="2"/>
    <x v="2"/>
    <s v="45099/2026"/>
    <s v="debito"/>
    <s v="IRRF Pessoa Jurídica"/>
    <s v="IRRF Retenção Pessoa Jurídica: Rendimento de aplicação financeira ref. a Agosto de 2026."/>
    <n v="-14.42"/>
  </r>
  <r>
    <x v="5"/>
    <d v="2026-09-30T00:00:00"/>
    <x v="2"/>
    <x v="2"/>
    <x v="2"/>
    <s v="53097/2026"/>
    <s v="credito"/>
    <s v="Aplicação Financeira"/>
    <s v="Rendimento de aplicação financeira ref. a Setembro de 2026."/>
    <n v="784.16"/>
  </r>
  <r>
    <x v="5"/>
    <d v="2026-09-30T00:00:00"/>
    <x v="2"/>
    <x v="2"/>
    <x v="2"/>
    <s v="53097/2026"/>
    <s v="debito"/>
    <s v="IRRF Pessoa Jurídica"/>
    <s v="IRRF Retenção Pessoa Jurídica: Rendimento de aplicação financeira ref. a Setembro de 2026."/>
    <n v="-32.07"/>
  </r>
  <r>
    <x v="6"/>
    <d v="2026-10-20T00:00:00"/>
    <x v="3"/>
    <x v="2"/>
    <x v="2"/>
    <s v="56233/2026"/>
    <s v="credito"/>
    <s v="Aplicação Financeira"/>
    <s v="Rendimento de aplicação financeira ref. a Out. 2026"/>
    <n v="419.44"/>
  </r>
  <r>
    <x v="6"/>
    <d v="2026-10-20T00:00:00"/>
    <x v="3"/>
    <x v="2"/>
    <x v="2"/>
    <s v="56233/2026"/>
    <s v="debito"/>
    <s v="IRRF Pessoa Jurídica"/>
    <s v="Rendimento de aplicação financeira ref. a Out. 2026"/>
    <n v="-303.97"/>
  </r>
  <r>
    <x v="31"/>
    <d v="2026-06-17T00:00:00"/>
    <x v="4"/>
    <x v="2"/>
    <x v="0"/>
    <s v="25579/2026"/>
    <s v="credito"/>
    <s v="Transferência entre Projetos"/>
    <s v="Transferência do projeto &quot;147 - IFAM 2022-023 - EMBRAPII (12026-X)&quot; para &quot;377 - IFAM 2026-006 - Bio Caroço EMBRAPII (15338-9)&quot;, referente a Transferência de valores das contas EMBRAPII para a conta do respectivo projeto."/>
    <n v="103000"/>
  </r>
  <r>
    <x v="29"/>
    <d v="2026-10-19T00:00:00"/>
    <x v="3"/>
    <x v="2"/>
    <x v="0"/>
    <s v="55093/2026"/>
    <s v="credito"/>
    <s v="Transferência entre Projetos"/>
    <s v="Transferência do projeto &quot;147 - IFAM 2022-023 - EMBRAPII (12026-X)&quot; para &quot;377 - IFAM 2026-006 - Bio Caroço EMBRAPII (15338-9)&quot;, referente a Transferência de valores das contas EMBRAPII para a conta do respectivo projeto."/>
    <n v="45000"/>
  </r>
  <r>
    <x v="8"/>
    <d v="2026-08-06T00:00:00"/>
    <x v="1"/>
    <x v="2"/>
    <x v="3"/>
    <s v="38613/2026"/>
    <s v="debito"/>
    <s v="Pagamento de Bolsa Pesquisa"/>
    <s v="Pagamento bolsa para Gabriel Nogueira de Lima, 00686343239, referente à parcela 02/09."/>
    <n v="-2000"/>
  </r>
  <r>
    <x v="21"/>
    <d v="2026-08-18T00:00:00"/>
    <x v="1"/>
    <x v="2"/>
    <x v="3"/>
    <s v="40217/2026"/>
    <s v="debito"/>
    <s v="Pagamento de Bolsa Pesquisa"/>
    <s v="Pagamento bolsa para Cairo José Nascimento Carneiro, 70513691219, referente à parcela 01/08."/>
    <n v="-2125"/>
  </r>
  <r>
    <x v="9"/>
    <d v="2026-09-09T00:00:00"/>
    <x v="2"/>
    <x v="2"/>
    <x v="3"/>
    <s v="45726/2026"/>
    <s v="debito"/>
    <s v="Pagamento de Bolsa Pesquisa"/>
    <s v="Pagamento bolsa para Jose Mario Castro de Amaral, 07015698242, referente à parcela 03/09."/>
    <n v="-2000"/>
  </r>
  <r>
    <x v="9"/>
    <d v="2026-09-09T00:00:00"/>
    <x v="2"/>
    <x v="2"/>
    <x v="3"/>
    <s v="45727/2026"/>
    <s v="debito"/>
    <s v="Pagamento de Bolsa Pesquisa"/>
    <s v="Pagamento bolsa para Gabriel Nogueira de Lima, 00686343239, referente à parcela 03/09."/>
    <n v="-2000"/>
  </r>
  <r>
    <x v="23"/>
    <d v="2026-09-11T00:00:00"/>
    <x v="2"/>
    <x v="2"/>
    <x v="3"/>
    <s v="45942/2026"/>
    <s v="debito"/>
    <s v="Pagamento de Bolsa Pesquisa"/>
    <s v="Pagamento bolsa para Cairo José Nascimento Carneiro, 70513691219, referente à parcela 02/08."/>
    <n v="-2125"/>
  </r>
  <r>
    <x v="10"/>
    <d v="2026-10-13T00:00:00"/>
    <x v="3"/>
    <x v="2"/>
    <x v="3"/>
    <s v="53328/2026"/>
    <s v="debito"/>
    <s v="Pagamento de Bolsa Pesquisa"/>
    <s v="Pagamento bolsa para Wenndisson da Silva Souza, 00390179230, referente à parcela 04/09."/>
    <n v="-12000"/>
  </r>
  <r>
    <x v="10"/>
    <d v="2026-10-13T00:00:00"/>
    <x v="3"/>
    <x v="2"/>
    <x v="3"/>
    <s v="53342/2026"/>
    <s v="debito"/>
    <s v="Pagamento de Bolsa Pesquisa"/>
    <s v="Pagamento bolsa para Gabriel Silveira Alencar, 00548625239, referente à parcela 04/09."/>
    <n v="-5000"/>
  </r>
  <r>
    <x v="14"/>
    <d v="2026-10-14T00:00:00"/>
    <x v="3"/>
    <x v="2"/>
    <x v="3"/>
    <s v="53407/2026"/>
    <s v="debito"/>
    <s v="Pagamento de Bolsa Pesquisa"/>
    <s v="Pagamento bolsa para NOBUYUKI ANDRADE ASHIBE, 00209299274, referente à parcela 04/09."/>
    <n v="-2000"/>
  </r>
  <r>
    <x v="14"/>
    <d v="2026-10-14T00:00:00"/>
    <x v="3"/>
    <x v="2"/>
    <x v="3"/>
    <s v="53409/2026"/>
    <s v="debito"/>
    <s v="Pagamento de Bolsa Pesquisa"/>
    <s v="Pagamento bolsa para Jose Mario Castro de Amaral, 07015698242, referente à parcela 04/09."/>
    <n v="-2000"/>
  </r>
  <r>
    <x v="14"/>
    <d v="2026-10-14T00:00:00"/>
    <x v="3"/>
    <x v="2"/>
    <x v="3"/>
    <s v="53410/2026"/>
    <s v="debito"/>
    <s v="Pagamento de Bolsa Pesquisa"/>
    <s v="Pagamento bolsa para Gabriel Nogueira de Lima, 00686343239, referente à parcela 04/09."/>
    <n v="-2000"/>
  </r>
  <r>
    <x v="14"/>
    <d v="2026-10-14T00:00:00"/>
    <x v="3"/>
    <x v="2"/>
    <x v="3"/>
    <s v="53411/2026"/>
    <s v="debito"/>
    <s v="Pagamento de Bolsa Pesquisa"/>
    <s v="Pagamento bolsa para Liane de Oliveira Calais Sobreira, 66831555268, referente à parcela 04/09."/>
    <n v="-5000"/>
  </r>
  <r>
    <x v="14"/>
    <d v="2026-10-14T00:00:00"/>
    <x v="3"/>
    <x v="2"/>
    <x v="3"/>
    <s v="53412/2026"/>
    <s v="debito"/>
    <s v="Pagamento de Bolsa Pesquisa"/>
    <s v="Pagamento bolsa para Gabriel Clávila Soares, 52868826253, referente à parcela 04/09."/>
    <n v="-5000"/>
  </r>
  <r>
    <x v="16"/>
    <d v="2026-10-16T00:00:00"/>
    <x v="3"/>
    <x v="2"/>
    <x v="3"/>
    <s v="54371/2026"/>
    <s v="debito"/>
    <s v="Pagamento de Bolsa Pesquisa"/>
    <s v="Pagamento bolsa para Cairo José Nascimento Carneiro, 70513691219, referente à parcela 03/08."/>
    <n v="-2125"/>
  </r>
  <r>
    <x v="29"/>
    <d v="2026-10-19T00:00:00"/>
    <x v="3"/>
    <x v="2"/>
    <x v="3"/>
    <s v="54957/2026"/>
    <s v="debito"/>
    <s v="Pagamento de Bolsa Pesquisa"/>
    <s v="Pagamento bolsa para EDUARDO PALHARES JUNIOR, 36861809870, referente à parcela 04/09."/>
    <n v="-7000"/>
  </r>
  <r>
    <x v="17"/>
    <d v="2026-07-02T00:00:00"/>
    <x v="0"/>
    <x v="2"/>
    <x v="5"/>
    <s v="38390/2026"/>
    <s v="debito"/>
    <s v="Pagamento de Despesa Administrativa e Financeira"/>
    <s v="Pagamento de serviços bancários"/>
    <n v="-34.5"/>
  </r>
  <r>
    <x v="18"/>
    <d v="2026-08-04T00:00:00"/>
    <x v="1"/>
    <x v="2"/>
    <x v="5"/>
    <s v="39731/2026"/>
    <s v="debito"/>
    <s v="Pagamento de Despesa Administrativa e Financeira"/>
    <s v="Tarifa bancária do projeto 377 - IFAM 2026-006 - Bio Caroço EMBRAPII (15338-9) importada do arquivo de extrato para conciliação bancária."/>
    <n v="-34.5"/>
  </r>
  <r>
    <x v="25"/>
    <d v="2026-08-06T00:00:00"/>
    <x v="1"/>
    <x v="2"/>
    <x v="5"/>
    <s v="39733/2026"/>
    <s v="debito"/>
    <s v="Pagamento de Despesa Administrativa e Financeira"/>
    <s v="Tarifa bancária do projeto 377 - IFAM 2026-006 - Bio Caroço EMBRAPII (15338-9) importada do arquivo de extrato para conciliação bancária."/>
    <n v="-3.16"/>
  </r>
  <r>
    <x v="26"/>
    <d v="2026-08-18T00:00:00"/>
    <x v="1"/>
    <x v="2"/>
    <x v="5"/>
    <s v="45098/2026"/>
    <s v="debito"/>
    <s v="Pagamento de Despesa Administrativa e Financeira"/>
    <s v="Tarifa bancária do projeto 377 - IFAM 2026-006 - Bio Caroço EMBRAPII (15338-9) importada do arquivo de extrato para conciliação bancária."/>
    <n v="-3.16"/>
  </r>
  <r>
    <x v="19"/>
    <d v="2026-09-02T00:00:00"/>
    <x v="2"/>
    <x v="2"/>
    <x v="5"/>
    <s v="47802/2026"/>
    <s v="debito"/>
    <s v="Pagamento de Despesa Administrativa e Financeira"/>
    <s v="Tarifa bancária do projeto 377 - IFAM 2026-006 - Bio Caroço EMBRAPII (15338-9) importada do arquivo de extrato para conciliação bancária."/>
    <n v="-34.5"/>
  </r>
  <r>
    <x v="23"/>
    <d v="2026-09-09T00:00:00"/>
    <x v="2"/>
    <x v="2"/>
    <x v="5"/>
    <s v="47806/2026"/>
    <s v="debito"/>
    <s v="Pagamento de Despesa Administrativa e Financeira"/>
    <s v="Tarifa bancária do projeto 377 - IFAM 2026-006 - Bio Caroço EMBRAPII (15338-9) importada do arquivo de extrato para conciliação bancária."/>
    <n v="-6.32"/>
  </r>
  <r>
    <x v="28"/>
    <d v="2026-09-11T00:00:00"/>
    <x v="2"/>
    <x v="2"/>
    <x v="5"/>
    <s v="47804/2026"/>
    <s v="debito"/>
    <s v="Pagamento de Despesa Administrativa e Financeira"/>
    <s v="Tarifa bancária do projeto 377 - IFAM 2026-006 - Bio Caroço EMBRAPII (15338-9) importada do arquivo de extrato para conciliação bancária."/>
    <n v="-3.16"/>
  </r>
  <r>
    <x v="20"/>
    <d v="2026-10-02T00:00:00"/>
    <x v="3"/>
    <x v="2"/>
    <x v="5"/>
    <s v="53078/2026"/>
    <s v="debito"/>
    <s v="Pagamento de Despesa Administrativa e Financeira"/>
    <s v="Tarifa bancária do projeto 377 - IFAM 2026-006 - Bio Caroço EMBRAPII (15338-9) importada do arquivo de extrato para conciliação bancária."/>
    <n v="-34.5"/>
  </r>
  <r>
    <x v="14"/>
    <d v="2026-10-13T00:00:00"/>
    <x v="3"/>
    <x v="2"/>
    <x v="5"/>
    <s v="56240/2026"/>
    <s v="debito"/>
    <s v="Pagamento de Despesa Administrativa e Financeira"/>
    <s v="Tarifa bancÃ¡ria do projeto 377 - IFAM 2026-006 - Bio Caroço EMBRAPII (15338-9) importada do arquivo de extrato para conciliaÃ§Ã£o bancÃ¡ria."/>
    <n v="-6.32"/>
  </r>
  <r>
    <x v="15"/>
    <d v="2026-10-14T00:00:00"/>
    <x v="3"/>
    <x v="2"/>
    <x v="5"/>
    <s v="56242/2026"/>
    <s v="debito"/>
    <s v="Pagamento de Despesa Administrativa e Financeira"/>
    <s v="Tarifa bancÃ¡ria do projeto 377 - IFAM 2026-006 - Bio Caroço EMBRAPII (15338-9) importada do arquivo de extrato para conciliaÃ§Ã£o bancÃ¡ria."/>
    <n v="-15.8"/>
  </r>
  <r>
    <x v="29"/>
    <d v="2026-10-16T00:00:00"/>
    <x v="3"/>
    <x v="2"/>
    <x v="5"/>
    <s v="56238/2026"/>
    <s v="debito"/>
    <s v="Pagamento de Despesa Administrativa e Financeira"/>
    <s v="Tarifa bancÃ¡ria do projeto 377 - IFAM 2026-006 - Bio Caroço EMBRAPII (15338-9) importada do arquivo de extrato para conciliaÃ§Ã£o bancÃ¡ria."/>
    <n v="-3.16"/>
  </r>
  <r>
    <x v="32"/>
    <d v="2026-10-19T00:00:00"/>
    <x v="3"/>
    <x v="2"/>
    <x v="5"/>
    <s v="56236/2026"/>
    <s v="debito"/>
    <s v="Pagamento de Despesa Administrativa e Financeira"/>
    <s v="Tarifa bancÃ¡ria do projeto 377 - IFAM 2026-006 - Bio Caroço EMBRAPII (15338-9) importada do arquivo de extrato para conciliaÃ§Ã£o bancÃ¡ria."/>
    <n v="-3.16"/>
  </r>
</pivotCacheRecords>
</file>

<file path=xl/pivotTables/_rels/pivotTable1.xml.rels><Relationships xmlns="http://schemas.openxmlformats.org/package/2006/relationships"><Relationship Type="http://schemas.openxmlformats.org/officeDocument/2006/relationships/pivotCacheDefinition" Target="/xl/pivotCache/pivotCacheDefinition1.xml" Id="rId1"/></Relationships>
</file>

<file path=xl/pivotTables/pivotTable1.xml><?xml version="1.0" encoding="utf-8"?>
<pivotTableDefinition xmlns:r="http://schemas.openxmlformats.org/officeDocument/2006/relationships" xmlns="http://schemas.openxmlformats.org/spreadsheetml/2006/main" name="Tabela dinâmica4" cacheId="7" dataOnRows="0" dataCaption="Valores" grandTotalCaption="Saldo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8" indent="0" showEmptyRow="0" showEmptyCol="0" showHeaders="1" compact="1" outline="1" outlineData="1" compactData="1" published="0" gridDropZones="0" immersive="1" multipleFieldFilters="0" chartFormat="3" fieldListSortAscending="0" mdxSubqueries="0" applyNumberFormats="0" applyBorderFormats="0" applyFontFormats="0" applyPatternFormats="0" applyAlignmentFormats="0" applyWidthHeightFormats="1" r:id="rId1">
  <location ref="A3:H21" firstHeaderRow="1" firstDataRow="2" firstDataCol="1"/>
  <pivotFields count="10">
    <pivotField showDropDowns="1" compact="1" outline="1" subtotalTop="1" dragToRow="1" dragToCol="1" dragToPage="1" dragToData="1" dragOff="1" showAll="0" topAutoShow="1" itemPageCount="10" sortType="ascending" defaultSubtotal="0">
      <items count="34">
        <item t="data" sd="1" x="31"/>
        <item t="data" sd="1" x="30"/>
        <item t="data" sd="1" x="0"/>
        <item t="data" sd="1" x="17"/>
        <item t="data" sd="1" x="1"/>
        <item t="data" sd="1" x="2"/>
        <item t="data" sd="1" x="7"/>
        <item t="data" sd="1" x="24"/>
        <item t="data" sd="1" x="3"/>
        <item t="data" sd="1" x="18"/>
        <item t="data" sd="1" x="8"/>
        <item t="data" sd="1" x="25"/>
        <item t="data" sd="1" x="21"/>
        <item t="data" sd="1" x="26"/>
        <item t="data" sd="1" x="11"/>
        <item t="data" sd="1" x="4"/>
        <item t="data" sd="1" x="19"/>
        <item t="data" sd="1" x="22"/>
        <item t="data" sd="1" x="27"/>
        <item t="data" sd="1" x="9"/>
        <item t="data" sd="1" x="23"/>
        <item t="data" sd="1" x="28"/>
        <item t="data" sd="1" x="12"/>
        <item t="data" sd="1" m="1" x="33"/>
        <item t="data" sd="1" x="5"/>
        <item t="data" sd="1" x="20"/>
        <item t="data" sd="1" x="13"/>
        <item t="data" sd="1" x="10"/>
        <item t="data" sd="1" x="14"/>
        <item t="data" sd="1" x="15"/>
        <item t="data" sd="1" x="16"/>
        <item t="data" sd="1" x="29"/>
        <item t="data" sd="1" x="32"/>
        <item t="data" sd="1" x="6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axis="axisRow" showDropDowns="1" compact="1" outline="1" subtotalTop="1" dragToRow="1" dragToCol="1" dragToPage="1" dragToData="1" dragOff="1" showAll="0" topAutoShow="1" itemPageCount="10" sortType="manual" defaultSubtotal="1">
      <items count="6">
        <item t="data" sd="1" x="4"/>
        <item t="data" sd="1" x="0"/>
        <item t="data" sd="1" x="1"/>
        <item t="data" sd="1" x="2"/>
        <item t="data" sd="1" x="3"/>
        <item t="default" sd="1"/>
      </items>
    </pivotField>
    <pivotField axis="axisRow" showDropDowns="1" compact="1" outline="1" subtotalTop="1" dragToRow="1" dragToCol="1" dragToPage="1" dragToData="1" dragOff="1" showAll="0" topAutoShow="1" itemPageCount="10" sortType="manual" defaultSubtotal="1">
      <items count="4">
        <item t="data" sd="1" x="0"/>
        <item t="data" sd="1" x="1"/>
        <item t="data" sd="1" x="2"/>
        <item t="default" sd="1"/>
      </items>
    </pivotField>
    <pivotField axis="axisCol" showDropDowns="1" compact="1" outline="1" subtotalTop="1" dragToRow="1" dragToCol="1" dragToPage="1" dragToData="1" dragOff="1" showAll="0" topAutoShow="1" itemPageCount="10" sortType="manual" defaultSubtotal="1">
      <items count="7">
        <item t="data" sd="1" x="2"/>
        <item t="data" sd="1" x="1"/>
        <item t="data" sd="1" x="0"/>
        <item t="data" sd="1" x="3"/>
        <item t="data" sd="1" x="4"/>
        <item t="data" sd="1" x="5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dataField="1" showDropDowns="1" compact="1" numFmtId="44" outline="1" subtotalTop="1" dragToRow="1" dragToCol="1" dragToPage="1" dragToData="1" dragOff="1" showAll="0" topAutoShow="1" itemPageCount="10" sortType="manual" defaultSubtotal="1"/>
  </pivotFields>
  <rowFields count="2">
    <field x="3"/>
    <field x="2"/>
  </rowFields>
  <rowItems count="17">
    <i t="data" r="0" i="0">
      <x v="0"/>
    </i>
    <i t="data" r="1" i="0">
      <x v="1"/>
    </i>
    <i t="data" r="1" i="0">
      <x v="2"/>
    </i>
    <i t="data" r="1" i="0">
      <x v="3"/>
    </i>
    <i t="data" r="1" i="0">
      <x v="4"/>
    </i>
    <i t="data" r="0" i="0">
      <x v="1"/>
    </i>
    <i t="data" r="1" i="0">
      <x v="1"/>
    </i>
    <i t="data" r="1" i="0">
      <x v="2"/>
    </i>
    <i t="data" r="1" i="0">
      <x v="3"/>
    </i>
    <i t="data" r="1" i="0">
      <x v="4"/>
    </i>
    <i t="data" r="0" i="0">
      <x v="2"/>
    </i>
    <i t="data" r="1" i="0">
      <x v="0"/>
    </i>
    <i t="data" r="1" i="0">
      <x v="1"/>
    </i>
    <i t="data" r="1" i="0">
      <x v="2"/>
    </i>
    <i t="data" r="1" i="0">
      <x v="3"/>
    </i>
    <i t="data" r="1" i="0">
      <x v="4"/>
    </i>
    <i t="grand" r="0" i="0">
      <x v="0"/>
    </i>
  </rowItems>
  <colFields count="1">
    <field x="4"/>
  </colFields>
  <colItems count="7">
    <i t="data" r="0" i="0">
      <x v="0"/>
    </i>
    <i t="data" r="0" i="0">
      <x v="1"/>
    </i>
    <i t="data" r="0" i="0">
      <x v="2"/>
    </i>
    <i t="data" r="0" i="0">
      <x v="3"/>
    </i>
    <i t="data" r="0" i="0">
      <x v="4"/>
    </i>
    <i t="data" r="0" i="0">
      <x v="5"/>
    </i>
    <i t="grand" r="0" i="0">
      <x v="0"/>
    </i>
  </colItems>
  <dataFields count="1">
    <dataField name="Soma de valor" fld="9" subtotal="sum" showDataAs="normal" baseField="0" baseItem="0" numFmtId="44"/>
  </dataFields>
  <formats count="19">
    <format action="formatting" dxfId="0">
      <pivotArea type="normal" dataOnly="1" outline="0" fieldPosition="0">
        <references count="1">
          <reference field="4294967294">
            <x v="0"/>
          </reference>
        </references>
      </pivotArea>
    </format>
    <format action="formatting" dxfId="1">
      <pivotArea type="all" dataOnly="0" outline="0" fieldPosition="0"/>
    </format>
    <format action="formatting" dxfId="2">
      <pivotArea type="normal" dataOnly="1" outline="0" collapsedLevelsAreSubtotals="1" fieldPosition="0"/>
    </format>
    <format action="formatting" dxfId="3">
      <pivotArea type="origin" dataOnly="0" labelOnly="1" outline="0" fieldPosition="0"/>
    </format>
    <format action="formatting" dxfId="4">
      <pivotArea field="4" type="button" dataOnly="0" labelOnly="1" outline="0" axis="axisCol" fieldPosition="0"/>
    </format>
    <format action="formatting" dxfId="5">
      <pivotArea type="topRight" dataOnly="0" labelOnly="1" outline="0" fieldPosition="0"/>
    </format>
    <format action="formatting" dxfId="6">
      <pivotArea field="3" type="button" dataOnly="0" labelOnly="1" outline="0" axis="axisRow" fieldPosition="0"/>
    </format>
    <format action="formatting" dxfId="7">
      <pivotArea type="normal" dataOnly="0" labelOnly="1" outline="1" fieldPosition="0">
        <references count="1">
          <reference field="3"/>
        </references>
      </pivotArea>
    </format>
    <format action="formatting" dxfId="8">
      <pivotArea type="normal" dataOnly="0" labelOnly="1" grandRow="1" outline="0" fieldPosition="0"/>
    </format>
    <format action="formatting" dxfId="9">
      <pivotArea type="normal" dataOnly="0" labelOnly="1" outline="1" fieldPosition="0">
        <references count="1">
          <reference field="4"/>
        </references>
      </pivotArea>
    </format>
    <format action="formatting" dxfId="10">
      <pivotArea type="normal" dataOnly="0" labelOnly="1" grandCol="1" outline="0" fieldPosition="0"/>
    </format>
    <format action="formatting" dxfId="11">
      <pivotArea type="normal" dataOnly="0" labelOnly="1" outline="1" fieldPosition="0">
        <references count="1">
          <reference field="4"/>
        </references>
      </pivotArea>
    </format>
    <format action="formatting" dxfId="12">
      <pivotArea type="normal" dataOnly="0" labelOnly="1" grandCol="1" outline="0" fieldPosition="0"/>
    </format>
    <format action="formatting" dxfId="13">
      <pivotArea type="normal" dataOnly="0" labelOnly="1" outline="1" fieldPosition="0">
        <references count="1">
          <reference field="4"/>
        </references>
      </pivotArea>
    </format>
    <format action="formatting" dxfId="14">
      <pivotArea type="normal" dataOnly="0" labelOnly="1" grandCol="1" outline="0" fieldPosition="0"/>
    </format>
    <format action="formatting" dxfId="15">
      <pivotArea field="3" type="button" dataOnly="0" labelOnly="1" outline="0" axis="axisRow" fieldPosition="0"/>
    </format>
    <format action="formatting" dxfId="16">
      <pivotArea type="normal" dataOnly="0" labelOnly="1" outline="1" fieldPosition="0">
        <references count="1">
          <reference field="3"/>
        </references>
      </pivotArea>
    </format>
    <format action="formatting" dxfId="17">
      <pivotArea type="normal" dataOnly="0" labelOnly="1" outline="1" fieldPosition="0">
        <references count="1">
          <reference field="4"/>
        </references>
      </pivotArea>
    </format>
    <format action="formatting" dxfId="18">
      <pivotArea type="normal" dataOnly="0" labelOnly="1" grandCol="1" outline="0" fieldPosition="0"/>
    </format>
  </formats>
  <chartFormats count="7">
    <chartFormat chart="0" format="0" series="1">
      <pivotArea type="data" dataOnly="1" outline="0" fieldPosition="0">
        <references count="2">
          <reference field="4294967294" selected="0">
            <x v="0"/>
          </reference>
          <reference field="4" selected="0">
            <x v="0"/>
          </reference>
        </references>
      </pivotArea>
    </chartFormat>
    <chartFormat chart="0" format="1" series="1">
      <pivotArea type="data" dataOnly="1" outline="0" fieldPosition="0">
        <references count="2">
          <reference field="4294967294" selected="0">
            <x v="0"/>
          </reference>
          <reference field="4" selected="0">
            <x v="1"/>
          </reference>
        </references>
      </pivotArea>
    </chartFormat>
    <chartFormat chart="0" format="2" series="1">
      <pivotArea type="data" dataOnly="1" outline="0" fieldPosition="0">
        <references count="2">
          <reference field="4294967294" selected="0">
            <x v="0"/>
          </reference>
          <reference field="4" selected="0">
            <x v="2"/>
          </reference>
        </references>
      </pivotArea>
    </chartFormat>
    <chartFormat chart="0" format="3" series="1">
      <pivotArea type="data" dataOnly="1" outline="0" fieldPosition="0">
        <references count="2">
          <reference field="4294967294" selected="0">
            <x v="0"/>
          </reference>
          <reference field="4" selected="0">
            <x v="3"/>
          </reference>
        </references>
      </pivotArea>
    </chartFormat>
    <chartFormat chart="0" format="4" series="1">
      <pivotArea type="data" dataOnly="1" outline="0" fieldPosition="0">
        <references count="2">
          <reference field="4294967294" selected="0">
            <x v="0"/>
          </reference>
          <reference field="4" selected="0">
            <x v="4"/>
          </reference>
        </references>
      </pivotArea>
    </chartFormat>
    <chartFormat chart="0" format="5" series="1">
      <pivotArea type="data" dataOnly="1" outline="0" fieldPosition="0">
        <references count="2">
          <reference field="4294967294" selected="0">
            <x v="0"/>
          </reference>
          <reference field="4" selected="0">
            <x v="5"/>
          </reference>
        </references>
      </pivotArea>
    </chartFormat>
    <chartFormat chart="0" format="6" series="0">
      <pivotArea type="data" dataOnly="1" outline="0" fieldPosition="0">
        <references count="4">
          <reference field="4294967294" selected="0">
            <x v="0"/>
          </reference>
          <reference field="2" selected="0">
            <x v="1"/>
          </reference>
          <reference field="3" selected="0">
            <x v="1"/>
          </reference>
          <reference field="4" selected="0">
            <x v="2"/>
          </reference>
        </references>
      </pivotArea>
    </chartFormat>
  </chartFormats>
  <pivotTableStyleInfo name="PivotStyleLight20" showRowHeaders="1" showColHeaders="1" showRowStripes="0" showColStripes="0" showLastColumn="1"/>
</pivotTableDefinition>
</file>

<file path=xl/tables/table1.xml><?xml version="1.0" encoding="utf-8"?>
<table xmlns="http://schemas.openxmlformats.org/spreadsheetml/2006/main" id="1" name="tb_Extrato" displayName="tb_Extrato" ref="A1:J120" headerRowCount="1">
  <autoFilter ref="A1:J120"/>
  <tableColumns count="10">
    <tableColumn id="1" name="data_lancamento"/>
    <tableColumn id="2" name="data_pagamento"/>
    <tableColumn id="3" name="mês"/>
    <tableColumn id="4" name="conta"/>
    <tableColumn id="5" name="rubrica"/>
    <tableColumn id="6" name="documento"/>
    <tableColumn id="7" name="movimento"/>
    <tableColumn id="8" name="tipo"/>
    <tableColumn id="9" name="descricao"/>
    <tableColumn id="10" name="valor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pivotTable" Target="/xl/pivotTables/pivotTable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0"/>
  <sheetViews>
    <sheetView showGridLines="0" zoomScaleNormal="100" workbookViewId="0">
      <pane ySplit="1" topLeftCell="A2" activePane="bottomLeft" state="frozen"/>
      <selection pane="bottomLeft" activeCell="D4" sqref="D4"/>
    </sheetView>
  </sheetViews>
  <sheetFormatPr baseColWidth="8" defaultRowHeight="15"/>
  <cols>
    <col width="16.5703125" bestFit="1" customWidth="1" style="2" min="1" max="1"/>
    <col width="16" bestFit="1" customWidth="1" style="2" min="2" max="2"/>
    <col width="16" customWidth="1" style="2" min="3" max="3"/>
    <col width="29.28515625" customWidth="1" style="4" min="4" max="4"/>
    <col width="35.42578125" bestFit="1" customWidth="1" style="4" min="5" max="5"/>
    <col width="11.5703125" bestFit="1" customWidth="1" style="4" min="6" max="6"/>
    <col width="10.85546875" bestFit="1" customWidth="1" style="4" min="7" max="7"/>
    <col width="28.140625" bestFit="1" customWidth="1" style="4" min="8" max="8"/>
    <col width="58.5703125" customWidth="1" style="6" min="9" max="9"/>
    <col width="14.28515625" bestFit="1" customWidth="1" style="45" min="10" max="10"/>
    <col width="9.140625" customWidth="1" style="1" min="11" max="12"/>
    <col width="9.140625" customWidth="1" style="1" min="13" max="16384"/>
  </cols>
  <sheetData>
    <row r="1">
      <c r="A1" s="3" t="inlineStr">
        <is>
          <t>data_lancamento</t>
        </is>
      </c>
      <c r="B1" s="3" t="inlineStr">
        <is>
          <t>data_pagamento</t>
        </is>
      </c>
      <c r="C1" s="7" t="inlineStr">
        <is>
          <t>mês</t>
        </is>
      </c>
      <c r="D1" s="5" t="inlineStr">
        <is>
          <t>conta</t>
        </is>
      </c>
      <c r="E1" s="8" t="inlineStr">
        <is>
          <t>rubrica</t>
        </is>
      </c>
      <c r="F1" s="8" t="inlineStr">
        <is>
          <t>documento</t>
        </is>
      </c>
      <c r="G1" s="8" t="inlineStr">
        <is>
          <t>movimento</t>
        </is>
      </c>
      <c r="H1" s="8" t="inlineStr">
        <is>
          <t>tipo</t>
        </is>
      </c>
      <c r="I1" s="8" t="inlineStr">
        <is>
          <t>descricao</t>
        </is>
      </c>
      <c r="J1" s="46" t="inlineStr">
        <is>
          <t>valor</t>
        </is>
      </c>
    </row>
    <row r="2" ht="45" customHeight="1">
      <c r="A2" s="9" t="n">
        <v>46204</v>
      </c>
      <c r="B2" s="9" t="n">
        <v>46204</v>
      </c>
      <c r="C2" s="47">
        <f>TEXT(B2,"mmmm")</f>
        <v/>
      </c>
      <c r="D2" s="13" t="inlineStr">
        <is>
          <t>375 - IFAM 2026-006 - Bio Caroço (15334-6)</t>
        </is>
      </c>
      <c r="E2" s="10" t="inlineStr">
        <is>
          <t>Receita</t>
        </is>
      </c>
      <c r="F2" s="10" t="inlineStr">
        <is>
          <t>30106/2026</t>
        </is>
      </c>
      <c r="G2" s="10" t="inlineStr">
        <is>
          <t>credito</t>
        </is>
      </c>
      <c r="H2" s="10" t="inlineStr">
        <is>
          <t>Entrada de Receita</t>
        </is>
      </c>
      <c r="I2" s="11" t="inlineStr">
        <is>
          <t>Fatura para LC Industria e Comercio de Frutas LTDA, 60.369.979/0001-00,  referente à parcela 01/04 conforme convênio 02/2026.</t>
        </is>
      </c>
      <c r="J2" s="48" t="n">
        <v>27500</v>
      </c>
    </row>
    <row r="3" ht="60" customHeight="1">
      <c r="A3" s="9" t="n">
        <v>46210</v>
      </c>
      <c r="B3" s="9" t="n">
        <v>46211</v>
      </c>
      <c r="C3" s="47">
        <f>TEXT(B3,"mmmm")</f>
        <v/>
      </c>
      <c r="D3" s="13" t="inlineStr">
        <is>
          <t>375 - IFAM 2026-006 - Bio Caroço (15334-6)</t>
        </is>
      </c>
      <c r="E3" s="10" t="inlineStr">
        <is>
          <t>Obrigações Tributárias e Contributivas</t>
        </is>
      </c>
      <c r="F3" s="10" t="inlineStr">
        <is>
          <t>31467/2026</t>
        </is>
      </c>
      <c r="G3" s="10" t="inlineStr">
        <is>
          <t>debito</t>
        </is>
      </c>
      <c r="H3" s="10" t="inlineStr">
        <is>
          <t>Transferência entre Projetos</t>
        </is>
      </c>
      <c r="I3" s="11" t="inlineStr">
        <is>
          <t>Transferência do projeto "375 - IFAM 2026-006 - Bio Caroço (15334-6)" para "164 - FAEPI - RATEIOS E TRIBUTOS (12266-1)", referente a Documento de Arrecadação Municipal  DAM Mensal de JUNHO/2026- ISSQN-NFSe-n. 106.</t>
        </is>
      </c>
      <c r="J3" s="48" t="n">
        <v>-1375</v>
      </c>
    </row>
    <row r="4" ht="75" customHeight="1">
      <c r="A4" s="9" t="n">
        <v>46213</v>
      </c>
      <c r="B4" s="9" t="n">
        <v>46213</v>
      </c>
      <c r="C4" s="47">
        <f>TEXT(B4,"mmmm")</f>
        <v/>
      </c>
      <c r="D4" s="13" t="inlineStr">
        <is>
          <t>375 - IFAM 2026-006 - Bio Caroço (15334-6)</t>
        </is>
      </c>
      <c r="E4" s="10" t="inlineStr">
        <is>
          <t>Obrigações Tributárias e Contributivas</t>
        </is>
      </c>
      <c r="F4" s="10" t="inlineStr">
        <is>
          <t>32089/2026</t>
        </is>
      </c>
      <c r="G4" s="10" t="inlineStr">
        <is>
          <t>debito</t>
        </is>
      </c>
      <c r="H4" s="10" t="inlineStr">
        <is>
          <t>Transferência entre Projetos</t>
        </is>
      </c>
      <c r="I4" s="11" t="inlineStr">
        <is>
          <t>Transferência do projeto "375 - IFAM 2026-006 - Bio Caroço (15334-6)" para "164 - FAEPI - RATEIOS E TRIBUTOS (12266-1)", referente a Documento de Arrecadação Municipal  DAM Mensal de JUNHO/2026- ISSQN-NFSe-n. 98. Nota Fiscal em processo de cancelamento.</t>
        </is>
      </c>
      <c r="J4" s="48" t="n">
        <v>-2750</v>
      </c>
    </row>
    <row r="5" ht="30" customHeight="1">
      <c r="A5" s="9" t="n">
        <v>46234</v>
      </c>
      <c r="B5" s="9" t="n">
        <v>46234</v>
      </c>
      <c r="C5" s="47">
        <f>TEXT(B5,"mmmm")</f>
        <v/>
      </c>
      <c r="D5" s="13" t="inlineStr">
        <is>
          <t>375 - IFAM 2026-006 - Bio Caroço (15334-6)</t>
        </is>
      </c>
      <c r="E5" s="10" t="inlineStr">
        <is>
          <t>Investimento</t>
        </is>
      </c>
      <c r="F5" s="10" t="inlineStr">
        <is>
          <t>38370/2026</t>
        </is>
      </c>
      <c r="G5" s="10" t="inlineStr">
        <is>
          <t>credito</t>
        </is>
      </c>
      <c r="H5" s="10" t="inlineStr">
        <is>
          <t>Aplicação Financeira</t>
        </is>
      </c>
      <c r="I5" s="11" t="inlineStr">
        <is>
          <t>Rendimento de aplicação financeira ref. a Julho de 2026.</t>
        </is>
      </c>
      <c r="J5" s="48" t="n">
        <v>184.68</v>
      </c>
    </row>
    <row r="6" ht="30" customHeight="1">
      <c r="A6" s="9" t="n">
        <v>46234</v>
      </c>
      <c r="B6" s="9" t="n">
        <v>46234</v>
      </c>
      <c r="C6" s="47">
        <f>TEXT(B6,"mmmm")</f>
        <v/>
      </c>
      <c r="D6" s="13" t="inlineStr">
        <is>
          <t>375 - IFAM 2026-006 - Bio Caroço (15334-6)</t>
        </is>
      </c>
      <c r="E6" s="10" t="inlineStr">
        <is>
          <t>Investimento</t>
        </is>
      </c>
      <c r="F6" s="10" t="inlineStr">
        <is>
          <t>38370/2026</t>
        </is>
      </c>
      <c r="G6" s="10" t="inlineStr">
        <is>
          <t>debito</t>
        </is>
      </c>
      <c r="H6" s="10" t="inlineStr">
        <is>
          <t>IRRF Pessoa Jurídica</t>
        </is>
      </c>
      <c r="I6" s="11" t="inlineStr">
        <is>
          <t>Rendimento de aplicação financeira ref. a Julho de 2026.</t>
        </is>
      </c>
      <c r="J6" s="48" t="n">
        <v>-1.34</v>
      </c>
    </row>
    <row r="7" ht="30" customHeight="1">
      <c r="A7" s="9" t="n">
        <v>46234</v>
      </c>
      <c r="B7" s="9" t="n">
        <v>46234</v>
      </c>
      <c r="C7" s="47">
        <f>TEXT(B7,"mmmm")</f>
        <v/>
      </c>
      <c r="D7" s="13" t="inlineStr">
        <is>
          <t>375 - IFAM 2026-006 - Bio Caroço (15334-6)</t>
        </is>
      </c>
      <c r="E7" s="10" t="inlineStr">
        <is>
          <t>Investimento</t>
        </is>
      </c>
      <c r="F7" s="10" t="inlineStr">
        <is>
          <t>38370/2026</t>
        </is>
      </c>
      <c r="G7" s="10" t="inlineStr">
        <is>
          <t>debito</t>
        </is>
      </c>
      <c r="H7" s="10" t="inlineStr">
        <is>
          <t>IOF</t>
        </is>
      </c>
      <c r="I7" s="11" t="inlineStr">
        <is>
          <t>Rendimento de aplicação financeira ref. a Julho de 2026.</t>
        </is>
      </c>
      <c r="J7" s="48" t="n">
        <v>-10.92</v>
      </c>
    </row>
    <row r="8" ht="30" customHeight="1">
      <c r="A8" s="9" t="n">
        <v>46265</v>
      </c>
      <c r="B8" s="9" t="n">
        <v>46265</v>
      </c>
      <c r="C8" s="47">
        <f>TEXT(B8,"mmmm")</f>
        <v/>
      </c>
      <c r="D8" s="13" t="inlineStr">
        <is>
          <t>375 - IFAM 2026-006 - Bio Caroço (15334-6)</t>
        </is>
      </c>
      <c r="E8" s="10" t="inlineStr">
        <is>
          <t>Investimento</t>
        </is>
      </c>
      <c r="F8" s="10" t="inlineStr">
        <is>
          <t>45088/2026</t>
        </is>
      </c>
      <c r="G8" s="10" t="inlineStr">
        <is>
          <t>credito</t>
        </is>
      </c>
      <c r="H8" s="10" t="inlineStr">
        <is>
          <t>Aplicação Financeira</t>
        </is>
      </c>
      <c r="I8" s="11" t="inlineStr">
        <is>
          <t>Rendimento de aplicação financeira ref. a Agosto de 2026.</t>
        </is>
      </c>
      <c r="J8" s="48" t="n">
        <v>154.41</v>
      </c>
    </row>
    <row r="9" ht="30" customHeight="1">
      <c r="A9" s="9" t="n">
        <v>46265</v>
      </c>
      <c r="B9" s="9" t="n">
        <v>46265</v>
      </c>
      <c r="C9" s="47">
        <f>TEXT(B9,"mmmm")</f>
        <v/>
      </c>
      <c r="D9" s="13" t="inlineStr">
        <is>
          <t>375 - IFAM 2026-006 - Bio Caroço (15334-6)</t>
        </is>
      </c>
      <c r="E9" s="10" t="inlineStr">
        <is>
          <t>Investimento</t>
        </is>
      </c>
      <c r="F9" s="10" t="inlineStr">
        <is>
          <t>45088/2026</t>
        </is>
      </c>
      <c r="G9" s="10" t="inlineStr">
        <is>
          <t>debito</t>
        </is>
      </c>
      <c r="H9" s="10" t="inlineStr">
        <is>
          <t>IRRF Pessoa Jurídica</t>
        </is>
      </c>
      <c r="I9" s="11" t="inlineStr">
        <is>
          <t>IRRF Retenção Pessoa Jurídica: Rendimento de aplicação financeira ref. a Agosto de 2026.</t>
        </is>
      </c>
      <c r="J9" s="48" t="n">
        <v>-6.32</v>
      </c>
    </row>
    <row r="10" ht="30" customHeight="1">
      <c r="A10" s="9" t="n">
        <v>46295</v>
      </c>
      <c r="B10" s="9" t="n">
        <v>46295</v>
      </c>
      <c r="C10" s="47">
        <f>TEXT(B10,"mmmm")</f>
        <v/>
      </c>
      <c r="D10" s="13" t="inlineStr">
        <is>
          <t>375 - IFAM 2026-006 - Bio Caroço (15334-6)</t>
        </is>
      </c>
      <c r="E10" s="10" t="inlineStr">
        <is>
          <t>Investimento</t>
        </is>
      </c>
      <c r="F10" s="10" t="inlineStr">
        <is>
          <t>53072/2026</t>
        </is>
      </c>
      <c r="G10" s="10" t="inlineStr">
        <is>
          <t>credito</t>
        </is>
      </c>
      <c r="H10" s="10" t="inlineStr">
        <is>
          <t>Aplicação Financeira</t>
        </is>
      </c>
      <c r="I10" s="11" t="inlineStr">
        <is>
          <t>Rendimento de aplicação financeira ref. a Setembro de 2026.</t>
        </is>
      </c>
      <c r="J10" s="48" t="n">
        <v>127.46</v>
      </c>
    </row>
    <row r="11" ht="30" customHeight="1">
      <c r="A11" s="9" t="n">
        <v>46295</v>
      </c>
      <c r="B11" s="9" t="n">
        <v>46295</v>
      </c>
      <c r="C11" s="47">
        <f>TEXT(B11,"mmmm")</f>
        <v/>
      </c>
      <c r="D11" s="13" t="inlineStr">
        <is>
          <t>375 - IFAM 2026-006 - Bio Caroço (15334-6)</t>
        </is>
      </c>
      <c r="E11" s="10" t="inlineStr">
        <is>
          <t>Investimento</t>
        </is>
      </c>
      <c r="F11" s="10" t="inlineStr">
        <is>
          <t>53072/2026</t>
        </is>
      </c>
      <c r="G11" s="10" t="inlineStr">
        <is>
          <t>debito</t>
        </is>
      </c>
      <c r="H11" s="10" t="inlineStr">
        <is>
          <t>IRRF Pessoa Jurídica</t>
        </is>
      </c>
      <c r="I11" s="11" t="inlineStr">
        <is>
          <t>IRRF Retenção Pessoa Jurídica: Rendimento de aplicação financeira ref. a Setembro de 2026.</t>
        </is>
      </c>
      <c r="J11" s="48" t="n">
        <v>-12.34</v>
      </c>
    </row>
    <row r="12" ht="30" customHeight="1">
      <c r="A12" s="9" t="n">
        <v>46315</v>
      </c>
      <c r="B12" s="9" t="n">
        <v>46315</v>
      </c>
      <c r="C12" s="47">
        <f>TEXT(B12,"mmmm")</f>
        <v/>
      </c>
      <c r="D12" s="13" t="inlineStr">
        <is>
          <t>375 - IFAM 2026-006 - Bio Caroço (15334-6)</t>
        </is>
      </c>
      <c r="E12" s="10" t="inlineStr">
        <is>
          <t>Investimento</t>
        </is>
      </c>
      <c r="F12" s="10" t="inlineStr">
        <is>
          <t>56221/2026</t>
        </is>
      </c>
      <c r="G12" s="10" t="inlineStr">
        <is>
          <t>credito</t>
        </is>
      </c>
      <c r="H12" s="10" t="inlineStr">
        <is>
          <t>Aplicação Financeira</t>
        </is>
      </c>
      <c r="I12" s="11" t="inlineStr">
        <is>
          <t>Rendimento de aplicação financeira ref. a Out. 2026</t>
        </is>
      </c>
      <c r="J12" s="48" t="n">
        <v>68.54000000000001</v>
      </c>
    </row>
    <row r="13" ht="30" customHeight="1">
      <c r="A13" s="9" t="n">
        <v>46315</v>
      </c>
      <c r="B13" s="9" t="n">
        <v>46315</v>
      </c>
      <c r="C13" s="47">
        <f>TEXT(B13,"mmmm")</f>
        <v/>
      </c>
      <c r="D13" s="13" t="inlineStr">
        <is>
          <t>375 - IFAM 2026-006 - Bio Caroço (15334-6)</t>
        </is>
      </c>
      <c r="E13" s="10" t="inlineStr">
        <is>
          <t>Investimento</t>
        </is>
      </c>
      <c r="F13" s="10" t="inlineStr">
        <is>
          <t>56221/2026</t>
        </is>
      </c>
      <c r="G13" s="10" t="inlineStr">
        <is>
          <t>debito</t>
        </is>
      </c>
      <c r="H13" s="10" t="inlineStr">
        <is>
          <t>IRRF Pessoa Jurídica</t>
        </is>
      </c>
      <c r="I13" s="11" t="inlineStr">
        <is>
          <t>Rendimento de aplicação financeira ref. a Out. 2026</t>
        </is>
      </c>
      <c r="J13" s="48" t="n">
        <v>-18.08</v>
      </c>
    </row>
    <row r="14" ht="30" customHeight="1">
      <c r="A14" s="9" t="n">
        <v>46219</v>
      </c>
      <c r="B14" s="9" t="n">
        <v>46220</v>
      </c>
      <c r="C14" s="47">
        <f>TEXT(B14,"mmmm")</f>
        <v/>
      </c>
      <c r="D14" s="13" t="inlineStr">
        <is>
          <t>375 - IFAM 2026-006 - Bio Caroço (15334-6)</t>
        </is>
      </c>
      <c r="E14" s="10" t="inlineStr">
        <is>
          <t>Recursos Humanos - Bolsa</t>
        </is>
      </c>
      <c r="F14" s="10" t="inlineStr">
        <is>
          <t>32815/2026</t>
        </is>
      </c>
      <c r="G14" s="10" t="inlineStr">
        <is>
          <t>debito</t>
        </is>
      </c>
      <c r="H14" s="10" t="inlineStr">
        <is>
          <t>Pagamento de Bolsa Pesquisa</t>
        </is>
      </c>
      <c r="I14" s="11" t="inlineStr">
        <is>
          <t>Pagamento bolsa para Geziel Sena Colares, 83403876268, referente à parcela 01/08.</t>
        </is>
      </c>
      <c r="J14" s="48" t="n">
        <v>-2800</v>
      </c>
    </row>
    <row r="15" ht="60" customHeight="1">
      <c r="A15" s="9" t="n">
        <v>46239</v>
      </c>
      <c r="B15" s="9" t="n">
        <v>46240</v>
      </c>
      <c r="C15" s="47">
        <f>TEXT(B15,"mmmm")</f>
        <v/>
      </c>
      <c r="D15" s="13" t="inlineStr">
        <is>
          <t>375 - IFAM 2026-006 - Bio Caroço (15334-6)</t>
        </is>
      </c>
      <c r="E15" s="10" t="inlineStr">
        <is>
          <t>Recursos Humanos - Bolsa</t>
        </is>
      </c>
      <c r="F15" s="10" t="inlineStr">
        <is>
          <t>38605/2026</t>
        </is>
      </c>
      <c r="G15" s="10" t="inlineStr">
        <is>
          <t>debito</t>
        </is>
      </c>
      <c r="H15" s="10" t="inlineStr">
        <is>
          <t>Pagamento de Bolsa Pesquisa</t>
        </is>
      </c>
      <c r="I15" s="11" t="inlineStr">
        <is>
          <t>Pagamento bolsa para Geziel Sena Colares, 83403876268, referente à parcela 02/08.</t>
        </is>
      </c>
      <c r="J15" s="48" t="n">
        <v>-2800</v>
      </c>
    </row>
    <row r="16" ht="60" customHeight="1">
      <c r="A16" s="9" t="n">
        <v>46273</v>
      </c>
      <c r="B16" s="9" t="n">
        <v>46274</v>
      </c>
      <c r="C16" s="47">
        <f>TEXT(B16,"mmmm")</f>
        <v/>
      </c>
      <c r="D16" s="13" t="inlineStr">
        <is>
          <t>375 - IFAM 2026-006 - Bio Caroço (15334-6)</t>
        </is>
      </c>
      <c r="E16" s="10" t="inlineStr">
        <is>
          <t>Recursos Humanos - Bolsa</t>
        </is>
      </c>
      <c r="F16" s="10" t="inlineStr">
        <is>
          <t>45718/2026</t>
        </is>
      </c>
      <c r="G16" s="10" t="inlineStr">
        <is>
          <t>debito</t>
        </is>
      </c>
      <c r="H16" s="10" t="inlineStr">
        <is>
          <t>Pagamento de Bolsa Pesquisa</t>
        </is>
      </c>
      <c r="I16" s="11" t="inlineStr">
        <is>
          <t>Pagamento bolsa para Geziel Sena Colares, 83403876268, referente à parcela 03/08.</t>
        </is>
      </c>
      <c r="J16" s="48" t="n">
        <v>-2800</v>
      </c>
    </row>
    <row r="17" ht="30" customHeight="1">
      <c r="A17" s="9" t="n">
        <v>46304</v>
      </c>
      <c r="B17" s="9" t="n">
        <v>46308</v>
      </c>
      <c r="C17" s="47">
        <f>TEXT(B17,"mmmm")</f>
        <v/>
      </c>
      <c r="D17" s="13" t="inlineStr">
        <is>
          <t>375 - IFAM 2026-006 - Bio Caroço (15334-6)</t>
        </is>
      </c>
      <c r="E17" s="10" t="inlineStr">
        <is>
          <t>Recursos Humanos - Bolsa</t>
        </is>
      </c>
      <c r="F17" s="10" t="inlineStr">
        <is>
          <t>53332/2026</t>
        </is>
      </c>
      <c r="G17" s="10" t="inlineStr">
        <is>
          <t>debito</t>
        </is>
      </c>
      <c r="H17" s="10" t="inlineStr">
        <is>
          <t>Pagamento de Bolsa Pesquisa</t>
        </is>
      </c>
      <c r="I17" s="11" t="inlineStr">
        <is>
          <t>Pagamento bolsa para Geziel Sena Colares, 83403876268, referente à parcela 04/08.</t>
        </is>
      </c>
      <c r="J17" s="48" t="n">
        <v>-2800</v>
      </c>
    </row>
    <row r="18" ht="30" customHeight="1">
      <c r="A18" s="9" t="n">
        <v>46254</v>
      </c>
      <c r="B18" s="9" t="n">
        <v>46255</v>
      </c>
      <c r="C18" s="47">
        <f>TEXT(B18,"mmmm")</f>
        <v/>
      </c>
      <c r="D18" s="13" t="inlineStr">
        <is>
          <t>375 - IFAM 2026-006 - Bio Caroço (15334-6)</t>
        </is>
      </c>
      <c r="E18" s="10" t="inlineStr">
        <is>
          <t>Serviços Terceiros PJ</t>
        </is>
      </c>
      <c r="F18" s="10" t="inlineStr">
        <is>
          <t>41280/2026</t>
        </is>
      </c>
      <c r="G18" s="10" t="inlineStr">
        <is>
          <t>debito</t>
        </is>
      </c>
      <c r="H18" s="10" t="inlineStr">
        <is>
          <t>Transferência entre Projetos</t>
        </is>
      </c>
      <c r="I18" s="11" t="inlineStr">
        <is>
          <t>Transferência do projeto "375 - IFAM 2026-006 - Bio Caroço (15334-6)" para "61 - IFAM USO COMP. - RATEIO (10960-6)", referente ao rateio do Serviço de Internet Banda Larga - OFÍCIO N 044/2026 POLO/INOVA/IFAM.</t>
        </is>
      </c>
      <c r="J18" s="48" t="n">
        <v>-128.58</v>
      </c>
    </row>
    <row r="19" ht="45" customHeight="1">
      <c r="A19" s="9" t="n">
        <v>46281</v>
      </c>
      <c r="B19" s="9" t="n">
        <v>46282</v>
      </c>
      <c r="C19" s="47">
        <f>TEXT(B19,"mmmm")</f>
        <v/>
      </c>
      <c r="D19" s="13" t="inlineStr">
        <is>
          <t>375 - IFAM 2026-006 - Bio Caroço (15334-6)</t>
        </is>
      </c>
      <c r="E19" s="10" t="inlineStr">
        <is>
          <t>Serviços Terceiros PJ</t>
        </is>
      </c>
      <c r="F19" s="10" t="inlineStr">
        <is>
          <t>47004/2026</t>
        </is>
      </c>
      <c r="G19" s="10" t="inlineStr">
        <is>
          <t>debito</t>
        </is>
      </c>
      <c r="H19" s="10" t="inlineStr">
        <is>
          <t>Transferência entre Projetos</t>
        </is>
      </c>
      <c r="I19" s="11" t="inlineStr">
        <is>
          <t>Transferência do projeto "375 - IFAM 2026-006 - Bio Caroço (15334-6)" para "61 - IFAM USO COMP. - RATEIO (10960-6)", referente  ao rateio do Serviço de Internet Banda Larga - OFÍCIO N 044/2026 POLO/INOVA/IFAM.</t>
        </is>
      </c>
      <c r="J19" s="48" t="n">
        <v>-128.57</v>
      </c>
    </row>
    <row r="20" ht="45" customHeight="1">
      <c r="A20" s="9" t="n">
        <v>46302</v>
      </c>
      <c r="B20" s="9" t="n">
        <v>46303</v>
      </c>
      <c r="C20" s="47">
        <f>TEXT(B20,"mmmm")</f>
        <v/>
      </c>
      <c r="D20" s="13" t="inlineStr">
        <is>
          <t>375 - IFAM 2026-006 - Bio Caroço (15334-6)</t>
        </is>
      </c>
      <c r="E20" s="10" t="inlineStr">
        <is>
          <t>Serviços Terceiros PJ</t>
        </is>
      </c>
      <c r="F20" s="10" t="inlineStr">
        <is>
          <t>52834/2026</t>
        </is>
      </c>
      <c r="G20" s="10" t="inlineStr">
        <is>
          <t>debito</t>
        </is>
      </c>
      <c r="H20" s="10" t="inlineStr">
        <is>
          <t>Transferência entre Projetos</t>
        </is>
      </c>
      <c r="I20" s="11" t="inlineStr">
        <is>
          <t>Transferência do projeto "375 - IFAM 2026-006 - Bio Caroço (15334-6)" para "61 - IFAM USO COMP. - RATEIO (10960-6)",  referente ao rateio do Serviço de Internet Banda Larga - OFÍCIO N 044/2026 POLO/INOVA/IFAM.</t>
        </is>
      </c>
      <c r="J20" s="48" t="n">
        <v>-128.57</v>
      </c>
    </row>
    <row r="21" ht="30" customHeight="1">
      <c r="A21" s="9" t="n">
        <v>46308</v>
      </c>
      <c r="B21" s="9" t="n">
        <v>46308</v>
      </c>
      <c r="C21" s="47">
        <f>TEXT(B21,"mmmm")</f>
        <v/>
      </c>
      <c r="D21" s="14" t="inlineStr">
        <is>
          <t>375 - IFAM 2026-006 - Bio Caroço (15334-6)</t>
        </is>
      </c>
      <c r="E21" s="10" t="inlineStr">
        <is>
          <t>Serviços Terceiros PJ</t>
        </is>
      </c>
      <c r="F21" s="10" t="inlineStr">
        <is>
          <t>53413/2026</t>
        </is>
      </c>
      <c r="G21" s="10" t="inlineStr">
        <is>
          <t>debito</t>
        </is>
      </c>
      <c r="H21" s="10" t="inlineStr">
        <is>
          <t>Provisionamento de compra</t>
        </is>
      </c>
      <c r="I21" s="11" t="inlineStr">
        <is>
          <t>Provisionamento de recurso para compra de Serviço de Computação em Nuvem - AWS. Solicitado no Ofício 017/2026.</t>
        </is>
      </c>
      <c r="J21" s="48" t="n">
        <v>-8100</v>
      </c>
    </row>
    <row r="22" ht="30" customHeight="1">
      <c r="A22" s="9" t="n">
        <v>46309</v>
      </c>
      <c r="B22" s="9" t="n">
        <v>46309</v>
      </c>
      <c r="C22" s="47">
        <f>TEXT(B22,"mmmm")</f>
        <v/>
      </c>
      <c r="D22" s="14" t="inlineStr">
        <is>
          <t>375 - IFAM 2026-006 - Bio Caroço (15334-6)</t>
        </is>
      </c>
      <c r="E22" s="10" t="inlineStr">
        <is>
          <t>Serviços Terceiros PJ</t>
        </is>
      </c>
      <c r="F22" s="10" t="inlineStr">
        <is>
          <t>53413/2026</t>
        </is>
      </c>
      <c r="G22" s="10" t="inlineStr">
        <is>
          <t>credito</t>
        </is>
      </c>
      <c r="H22" s="10" t="inlineStr">
        <is>
          <t>Provisionamento de compra</t>
        </is>
      </c>
      <c r="I22" s="11" t="inlineStr">
        <is>
          <t>ESTORNO: Provisionamento de recurso para compra de Serviço de Computação em Nuvem - AWS. Solicitado no Ofício 017/2026.</t>
        </is>
      </c>
      <c r="J22" s="48" t="n">
        <v>8100</v>
      </c>
    </row>
    <row r="23" ht="30" customHeight="1">
      <c r="A23" s="9" t="n">
        <v>46310</v>
      </c>
      <c r="B23" s="9" t="n">
        <v>46310</v>
      </c>
      <c r="C23" s="47">
        <f>TEXT(B23,"mmmm")</f>
        <v/>
      </c>
      <c r="D23" s="14" t="inlineStr">
        <is>
          <t>375 - IFAM 2026-006 - Bio Caroço (15334-6)</t>
        </is>
      </c>
      <c r="E23" s="10" t="inlineStr">
        <is>
          <t>Serviços Terceiros PJ</t>
        </is>
      </c>
      <c r="F23" s="10" t="inlineStr">
        <is>
          <t>53413/2026</t>
        </is>
      </c>
      <c r="G23" s="10" t="inlineStr">
        <is>
          <t>debito</t>
        </is>
      </c>
      <c r="H23" s="10" t="inlineStr">
        <is>
          <t>Provisionamento de compra</t>
        </is>
      </c>
      <c r="I23" s="11" t="inlineStr">
        <is>
          <t>Provisionamento de recurso para Serviço de Computação em Nuvem - AWS. Solicitado no Ofício 017/2026.</t>
        </is>
      </c>
      <c r="J23" s="48" t="n">
        <v>-8100</v>
      </c>
    </row>
    <row r="24" ht="30" customHeight="1">
      <c r="A24" s="9" t="n">
        <v>46205</v>
      </c>
      <c r="B24" s="9" t="n">
        <v>46205</v>
      </c>
      <c r="C24" s="47">
        <f>TEXT(B24,"mmmm")</f>
        <v/>
      </c>
      <c r="D24" s="14" t="inlineStr">
        <is>
          <t>375 - IFAM 2026-006 - Bio Caroço (15334-6)</t>
        </is>
      </c>
      <c r="E24" s="10" t="inlineStr">
        <is>
          <t>Tarifas Bancárias</t>
        </is>
      </c>
      <c r="F24" s="10" t="inlineStr">
        <is>
          <t>31352/2026</t>
        </is>
      </c>
      <c r="G24" s="10" t="inlineStr">
        <is>
          <t>debito</t>
        </is>
      </c>
      <c r="H24" s="10" t="inlineStr">
        <is>
          <t>Pagamento de Despesa Administrativa e Financeira</t>
        </is>
      </c>
      <c r="I24" s="11" t="inlineStr">
        <is>
          <t>Pagamento de serviços bancários</t>
        </is>
      </c>
      <c r="J24" s="48" t="n">
        <v>-34.5</v>
      </c>
    </row>
    <row r="25" ht="30" customHeight="1">
      <c r="A25" s="9" t="n">
        <v>46213</v>
      </c>
      <c r="B25" s="9" t="n">
        <v>46213</v>
      </c>
      <c r="C25" s="47">
        <f>TEXT(B25,"mmmm")</f>
        <v/>
      </c>
      <c r="D25" s="14" t="inlineStr">
        <is>
          <t>375 - IFAM 2026-006 - Bio Caroço (15334-6)</t>
        </is>
      </c>
      <c r="E25" s="10" t="inlineStr">
        <is>
          <t>Tarifas Bancárias</t>
        </is>
      </c>
      <c r="F25" s="10" t="inlineStr">
        <is>
          <t>38375/2026</t>
        </is>
      </c>
      <c r="G25" s="10" t="inlineStr">
        <is>
          <t>debito</t>
        </is>
      </c>
      <c r="H25" s="10" t="inlineStr">
        <is>
          <t>Pagamento de Despesa Administrativa e Financeira</t>
        </is>
      </c>
      <c r="I25" s="11" t="inlineStr">
        <is>
          <t>Pagamento de serviços bancários</t>
        </is>
      </c>
      <c r="J25" s="48" t="n">
        <v>-1.7</v>
      </c>
    </row>
    <row r="26" ht="30" customHeight="1">
      <c r="A26" s="9" t="n">
        <v>46238</v>
      </c>
      <c r="B26" s="9" t="n">
        <v>46238</v>
      </c>
      <c r="C26" s="47">
        <f>TEXT(B26,"mmmm")</f>
        <v/>
      </c>
      <c r="D26" s="14" t="inlineStr">
        <is>
          <t>375 - IFAM 2026-006 - Bio Caroço (15334-6)</t>
        </is>
      </c>
      <c r="E26" s="10" t="inlineStr">
        <is>
          <t>Tarifas Bancárias</t>
        </is>
      </c>
      <c r="F26" s="10" t="inlineStr">
        <is>
          <t>45087/2026</t>
        </is>
      </c>
      <c r="G26" s="10" t="inlineStr">
        <is>
          <t>debito</t>
        </is>
      </c>
      <c r="H26" s="10" t="inlineStr">
        <is>
          <t>Pagamento de Despesa Administrativa e Financeira</t>
        </is>
      </c>
      <c r="I26" s="11" t="inlineStr">
        <is>
          <t>Tarifa bancária do projeto 375 - IFAM 2026-006 - Bio Caroço (15334-6) importada do arquivo de extrato para conciliação bancária.</t>
        </is>
      </c>
      <c r="J26" s="48" t="n">
        <v>-34.5</v>
      </c>
    </row>
    <row r="27" ht="30" customHeight="1">
      <c r="A27" s="9" t="n">
        <v>46267</v>
      </c>
      <c r="B27" s="9" t="n">
        <v>46267</v>
      </c>
      <c r="C27" s="47">
        <f>TEXT(B27,"mmmm")</f>
        <v/>
      </c>
      <c r="D27" s="14" t="inlineStr">
        <is>
          <t>375 - IFAM 2026-006 - Bio Caroço (15334-6)</t>
        </is>
      </c>
      <c r="E27" s="10" t="inlineStr">
        <is>
          <t>Tarifas Bancárias</t>
        </is>
      </c>
      <c r="F27" s="10" t="inlineStr">
        <is>
          <t>47645/2026</t>
        </is>
      </c>
      <c r="G27" s="10" t="inlineStr">
        <is>
          <t>debito</t>
        </is>
      </c>
      <c r="H27" s="10" t="inlineStr">
        <is>
          <t>Pagamento de Despesa Administrativa e Financeira</t>
        </is>
      </c>
      <c r="I27" s="11" t="inlineStr">
        <is>
          <t>Tarifa bancária do projeto 375 - IFAM 2026-006 - Bio Caroço (15334-6) importada do arquivo de extrato para conciliação bancária.</t>
        </is>
      </c>
      <c r="J27" s="48" t="n">
        <v>-34.5</v>
      </c>
    </row>
    <row r="28" ht="30" customHeight="1">
      <c r="A28" s="9" t="n">
        <v>46297</v>
      </c>
      <c r="B28" s="9" t="n">
        <v>46297</v>
      </c>
      <c r="C28" s="47">
        <f>TEXT(B28,"mmmm")</f>
        <v/>
      </c>
      <c r="D28" s="14" t="inlineStr">
        <is>
          <t>375 - IFAM 2026-006 - Bio Caroço (15334-6)</t>
        </is>
      </c>
      <c r="E28" s="10" t="inlineStr">
        <is>
          <t>Tarifas Bancárias</t>
        </is>
      </c>
      <c r="F28" s="10" t="inlineStr">
        <is>
          <t>53071/2026</t>
        </is>
      </c>
      <c r="G28" s="10" t="inlineStr">
        <is>
          <t>debito</t>
        </is>
      </c>
      <c r="H28" s="10" t="inlineStr">
        <is>
          <t>Pagamento de Despesa Administrativa e Financeira</t>
        </is>
      </c>
      <c r="I28" s="11" t="inlineStr">
        <is>
          <t>Tarifa bancária do projeto 375 - IFAM 2026-006 - Bio Caroço (15334-6) importada do arquivo de extrato para conciliação bancária.</t>
        </is>
      </c>
      <c r="J28" s="48" t="n">
        <v>-34.5</v>
      </c>
    </row>
    <row r="29" ht="60" customHeight="1">
      <c r="A29" s="9" t="n">
        <v>46234</v>
      </c>
      <c r="B29" s="9" t="n">
        <v>46234</v>
      </c>
      <c r="C29" s="47">
        <f>TEXT(B29,"mmmm")</f>
        <v/>
      </c>
      <c r="D29" s="14" t="inlineStr">
        <is>
          <t>376 - IFAM 2026-006 - Bio Caroço SEBRAE (15335-4)</t>
        </is>
      </c>
      <c r="E29" s="10" t="inlineStr">
        <is>
          <t>Investimento</t>
        </is>
      </c>
      <c r="F29" s="10" t="inlineStr">
        <is>
          <t>38377/2026</t>
        </is>
      </c>
      <c r="G29" s="10" t="inlineStr">
        <is>
          <t>credito</t>
        </is>
      </c>
      <c r="H29" s="10" t="inlineStr">
        <is>
          <t>Aplicação Financeira</t>
        </is>
      </c>
      <c r="I29" s="11" t="inlineStr">
        <is>
          <t>Rendimento de aplicação financeira ref. a Julho de 2026.</t>
        </is>
      </c>
      <c r="J29" s="48" t="n">
        <v>986.6900000000001</v>
      </c>
    </row>
    <row r="30" ht="30" customHeight="1">
      <c r="A30" s="9" t="n">
        <v>46234</v>
      </c>
      <c r="B30" s="9" t="n">
        <v>46234</v>
      </c>
      <c r="C30" s="47">
        <f>TEXT(B30,"mmmm")</f>
        <v/>
      </c>
      <c r="D30" s="14" t="inlineStr">
        <is>
          <t>376 - IFAM 2026-006 - Bio Caroço SEBRAE (15335-4)</t>
        </is>
      </c>
      <c r="E30" s="10" t="inlineStr">
        <is>
          <t>Investimento</t>
        </is>
      </c>
      <c r="F30" s="10" t="inlineStr">
        <is>
          <t>38377/2026</t>
        </is>
      </c>
      <c r="G30" s="10" t="inlineStr">
        <is>
          <t>debito</t>
        </is>
      </c>
      <c r="H30" s="10" t="inlineStr">
        <is>
          <t>IRRF Pessoa Jurídica</t>
        </is>
      </c>
      <c r="I30" s="11" t="inlineStr">
        <is>
          <t>Rendimento de aplicação financeira ref. a Julho de 2026.</t>
        </is>
      </c>
      <c r="J30" s="48" t="n">
        <v>-1.77</v>
      </c>
    </row>
    <row r="31" ht="30" customHeight="1">
      <c r="A31" s="9" t="n">
        <v>46234</v>
      </c>
      <c r="B31" s="9" t="n">
        <v>46234</v>
      </c>
      <c r="C31" s="47">
        <f>TEXT(B31,"mmmm")</f>
        <v/>
      </c>
      <c r="D31" s="14" t="inlineStr">
        <is>
          <t>376 - IFAM 2026-006 - Bio Caroço SEBRAE (15335-4)</t>
        </is>
      </c>
      <c r="E31" s="10" t="inlineStr">
        <is>
          <t>Investimento</t>
        </is>
      </c>
      <c r="F31" s="10" t="inlineStr">
        <is>
          <t>38377/2026</t>
        </is>
      </c>
      <c r="G31" s="10" t="inlineStr">
        <is>
          <t>debito</t>
        </is>
      </c>
      <c r="H31" s="10" t="inlineStr">
        <is>
          <t>IOF</t>
        </is>
      </c>
      <c r="I31" s="11" t="inlineStr">
        <is>
          <t>Rendimento de aplicação financeira ref. a Julho de 2026.</t>
        </is>
      </c>
      <c r="J31" s="48" t="n">
        <v>-21.31</v>
      </c>
    </row>
    <row r="32" ht="30" customHeight="1">
      <c r="A32" s="9" t="n">
        <v>46265</v>
      </c>
      <c r="B32" s="9" t="n">
        <v>46265</v>
      </c>
      <c r="C32" s="47">
        <f>TEXT(B32,"mmmm")</f>
        <v/>
      </c>
      <c r="D32" s="14" t="inlineStr">
        <is>
          <t>376 - IFAM 2026-006 - Bio Caroço SEBRAE (15335-4)</t>
        </is>
      </c>
      <c r="E32" s="10" t="inlineStr">
        <is>
          <t>Investimento</t>
        </is>
      </c>
      <c r="F32" s="10" t="inlineStr">
        <is>
          <t>45096/2026</t>
        </is>
      </c>
      <c r="G32" s="10" t="inlineStr">
        <is>
          <t>credito</t>
        </is>
      </c>
      <c r="H32" s="10" t="inlineStr">
        <is>
          <t>Aplicação Financeira</t>
        </is>
      </c>
      <c r="I32" s="11" t="inlineStr">
        <is>
          <t>Rendimento de aplicação financeira ref. a Agosto de 2026.</t>
        </is>
      </c>
      <c r="J32" s="48" t="n">
        <v>795.84</v>
      </c>
    </row>
    <row r="33" ht="30" customHeight="1">
      <c r="A33" s="9" t="n">
        <v>46265</v>
      </c>
      <c r="B33" s="9" t="n">
        <v>46265</v>
      </c>
      <c r="C33" s="47">
        <f>TEXT(B33,"mmmm")</f>
        <v/>
      </c>
      <c r="D33" s="14" t="inlineStr">
        <is>
          <t>376 - IFAM 2026-006 - Bio Caroço SEBRAE (15335-4)</t>
        </is>
      </c>
      <c r="E33" s="10" t="inlineStr">
        <is>
          <t>Investimento</t>
        </is>
      </c>
      <c r="F33" s="10" t="inlineStr">
        <is>
          <t>45096/2026</t>
        </is>
      </c>
      <c r="G33" s="10" t="inlineStr">
        <is>
          <t>debito</t>
        </is>
      </c>
      <c r="H33" s="10" t="inlineStr">
        <is>
          <t>IRRF Pessoa Jurídica</t>
        </is>
      </c>
      <c r="I33" s="11" t="inlineStr">
        <is>
          <t>IRRF Retenção Pessoa Jurídica: Rendimento de aplicação financeira ref. a Agosto de 2026.</t>
        </is>
      </c>
      <c r="J33" s="48" t="n">
        <v>-117.23</v>
      </c>
    </row>
    <row r="34" ht="30" customHeight="1">
      <c r="A34" s="9" t="n">
        <v>46265</v>
      </c>
      <c r="B34" s="9" t="n">
        <v>46265</v>
      </c>
      <c r="C34" s="47">
        <f>TEXT(B34,"mmmm")</f>
        <v/>
      </c>
      <c r="D34" s="14" t="inlineStr">
        <is>
          <t>376 - IFAM 2026-006 - Bio Caroço SEBRAE (15335-4)</t>
        </is>
      </c>
      <c r="E34" s="10" t="inlineStr">
        <is>
          <t>Investimento</t>
        </is>
      </c>
      <c r="F34" s="10" t="inlineStr">
        <is>
          <t>45096/2026</t>
        </is>
      </c>
      <c r="G34" s="10" t="inlineStr">
        <is>
          <t>debito</t>
        </is>
      </c>
      <c r="H34" s="10" t="inlineStr">
        <is>
          <t>IOF</t>
        </is>
      </c>
      <c r="I34" s="11" t="inlineStr">
        <is>
          <t>IOF: Rendimento de aplicação financeira ref. a Agosto de 2026.</t>
        </is>
      </c>
      <c r="J34" s="48" t="n">
        <v>-20.95</v>
      </c>
    </row>
    <row r="35" ht="30" customHeight="1">
      <c r="A35" s="9" t="n">
        <v>46295</v>
      </c>
      <c r="B35" s="9" t="n">
        <v>46295</v>
      </c>
      <c r="C35" s="47">
        <f>TEXT(B35,"mmmm")</f>
        <v/>
      </c>
      <c r="D35" s="14" t="inlineStr">
        <is>
          <t>376 - IFAM 2026-006 - Bio Caroço SEBRAE (15335-4)</t>
        </is>
      </c>
      <c r="E35" s="10" t="inlineStr">
        <is>
          <t>Investimento</t>
        </is>
      </c>
      <c r="F35" s="10" t="inlineStr">
        <is>
          <t>53076/2026</t>
        </is>
      </c>
      <c r="G35" s="10" t="inlineStr">
        <is>
          <t>credito</t>
        </is>
      </c>
      <c r="H35" s="10" t="inlineStr">
        <is>
          <t>Aplicação Financeira</t>
        </is>
      </c>
      <c r="I35" s="11" t="inlineStr">
        <is>
          <t>Rendimento de aplicação financeira ref. a Setembro de 2026.</t>
        </is>
      </c>
      <c r="J35" s="48" t="n">
        <v>321.37</v>
      </c>
    </row>
    <row r="36" ht="30" customHeight="1">
      <c r="A36" s="9" t="n">
        <v>46295</v>
      </c>
      <c r="B36" s="9" t="n">
        <v>46295</v>
      </c>
      <c r="C36" s="47">
        <f>TEXT(B36,"mmmm")</f>
        <v/>
      </c>
      <c r="D36" s="14" t="inlineStr">
        <is>
          <t>376 - IFAM 2026-006 - Bio Caroço SEBRAE (15335-4)</t>
        </is>
      </c>
      <c r="E36" s="10" t="inlineStr">
        <is>
          <t>Investimento</t>
        </is>
      </c>
      <c r="F36" s="10" t="inlineStr">
        <is>
          <t>53076/2026</t>
        </is>
      </c>
      <c r="G36" s="10" t="inlineStr">
        <is>
          <t>debito</t>
        </is>
      </c>
      <c r="H36" s="10" t="inlineStr">
        <is>
          <t>IRRF Pessoa Jurídica</t>
        </is>
      </c>
      <c r="I36" s="11" t="inlineStr">
        <is>
          <t>IRRF Retenção Pessoa Jurídica: Rendimento de aplicação financeira ref. a Setembro de 2026.</t>
        </is>
      </c>
      <c r="J36" s="48" t="n">
        <v>-200.93</v>
      </c>
    </row>
    <row r="37" ht="30" customHeight="1">
      <c r="A37" s="9" t="n">
        <v>46315</v>
      </c>
      <c r="B37" s="9" t="n">
        <v>46315</v>
      </c>
      <c r="C37" s="47">
        <f>TEXT(B37,"mmmm")</f>
        <v/>
      </c>
      <c r="D37" s="14" t="inlineStr">
        <is>
          <t>376 - IFAM 2026-006 - Bio Caroço SEBRAE (15335-4)</t>
        </is>
      </c>
      <c r="E37" s="10" t="inlineStr">
        <is>
          <t>Investimento</t>
        </is>
      </c>
      <c r="F37" s="10" t="inlineStr">
        <is>
          <t>56224/2026</t>
        </is>
      </c>
      <c r="G37" s="10" t="inlineStr">
        <is>
          <t>credito</t>
        </is>
      </c>
      <c r="H37" s="10" t="inlineStr">
        <is>
          <t>Aplicação Financeira</t>
        </is>
      </c>
      <c r="I37" s="11" t="inlineStr">
        <is>
          <t>Rendimento de aplicação financeira ref. a Out. 2026</t>
        </is>
      </c>
      <c r="J37" s="48" t="n">
        <v>107.99</v>
      </c>
    </row>
    <row r="38" ht="30" customHeight="1">
      <c r="A38" s="9" t="n">
        <v>46315</v>
      </c>
      <c r="B38" s="9" t="n">
        <v>46315</v>
      </c>
      <c r="C38" s="47">
        <f>TEXT(B38,"mmmm")</f>
        <v/>
      </c>
      <c r="D38" s="14" t="inlineStr">
        <is>
          <t>376 - IFAM 2026-006 - Bio Caroço SEBRAE (15335-4)</t>
        </is>
      </c>
      <c r="E38" s="10" t="inlineStr">
        <is>
          <t>Investimento</t>
        </is>
      </c>
      <c r="F38" s="10" t="inlineStr">
        <is>
          <t>56224/2026</t>
        </is>
      </c>
      <c r="G38" s="10" t="inlineStr">
        <is>
          <t>debito</t>
        </is>
      </c>
      <c r="H38" s="10" t="inlineStr">
        <is>
          <t>IRRF Pessoa Jurídica</t>
        </is>
      </c>
      <c r="I38" s="11" t="inlineStr">
        <is>
          <t>Rendimento de aplicação financeira ref. a Out. 2026</t>
        </is>
      </c>
      <c r="J38" s="48" t="n">
        <v>-95.15000000000001</v>
      </c>
    </row>
    <row r="39" ht="30" customHeight="1">
      <c r="A39" s="9" t="n">
        <v>46210</v>
      </c>
      <c r="B39" s="9" t="n">
        <v>46211</v>
      </c>
      <c r="C39" s="47">
        <f>TEXT(B39,"mmmm")</f>
        <v/>
      </c>
      <c r="D39" s="14" t="inlineStr">
        <is>
          <t>376 - IFAM 2026-006 - Bio Caroço SEBRAE (15335-4)</t>
        </is>
      </c>
      <c r="E39" s="10" t="inlineStr">
        <is>
          <t>Receita</t>
        </is>
      </c>
      <c r="F39" s="10" t="inlineStr">
        <is>
          <t>31353/2026</t>
        </is>
      </c>
      <c r="G39" s="10" t="inlineStr">
        <is>
          <t>credito</t>
        </is>
      </c>
      <c r="H39" s="10" t="inlineStr">
        <is>
          <t>Transferência entre Projetos</t>
        </is>
      </c>
      <c r="I39" s="11" t="inlineStr">
        <is>
          <t>Transferência do projeto "378 - IFAM 2026-007 - IFAM - SEBRAE MATRIZ 2026 (15.336-2)" para "376 - IFAM 2026-006 - Bio Caroço SEBRAE (15335-4)", referente a recurso previsto para a conta SEBRAE do projeto Bio Caroço.</t>
        </is>
      </c>
      <c r="J39" s="48" t="n">
        <v>150000</v>
      </c>
    </row>
    <row r="40" ht="30" customHeight="1">
      <c r="A40" s="9" t="n">
        <v>46219</v>
      </c>
      <c r="B40" s="9" t="n">
        <v>46220</v>
      </c>
      <c r="C40" s="47">
        <f>TEXT(B40,"mmmm")</f>
        <v/>
      </c>
      <c r="D40" s="14" t="inlineStr">
        <is>
          <t>376 - IFAM 2026-006 - Bio Caroço SEBRAE (15335-4)</t>
        </is>
      </c>
      <c r="E40" s="10" t="inlineStr">
        <is>
          <t>Recursos Humanos - Bolsa</t>
        </is>
      </c>
      <c r="F40" s="10" t="inlineStr">
        <is>
          <t>32816/2026</t>
        </is>
      </c>
      <c r="G40" s="10" t="inlineStr">
        <is>
          <t>debito</t>
        </is>
      </c>
      <c r="H40" s="10" t="inlineStr">
        <is>
          <t>Pagamento de Bolsa Pesquisa</t>
        </is>
      </c>
      <c r="I40" s="11" t="inlineStr">
        <is>
          <t>Pagamento bolsa para Wenndisson da Silva Souza, 00390179230, referente à parcela 01/09.</t>
        </is>
      </c>
      <c r="J40" s="48" t="n">
        <v>-12000</v>
      </c>
    </row>
    <row r="41" ht="30" customHeight="1">
      <c r="A41" s="9" t="n">
        <v>46239</v>
      </c>
      <c r="B41" s="9" t="n">
        <v>46240</v>
      </c>
      <c r="C41" s="47">
        <f>TEXT(B41,"mmmm")</f>
        <v/>
      </c>
      <c r="D41" s="14" t="inlineStr">
        <is>
          <t>376 - IFAM 2026-006 - Bio Caroço SEBRAE (15335-4)</t>
        </is>
      </c>
      <c r="E41" s="10" t="inlineStr">
        <is>
          <t>Recursos Humanos - Bolsa</t>
        </is>
      </c>
      <c r="F41" s="10" t="inlineStr">
        <is>
          <t>38606/2026</t>
        </is>
      </c>
      <c r="G41" s="10" t="inlineStr">
        <is>
          <t>debito</t>
        </is>
      </c>
      <c r="H41" s="10" t="inlineStr">
        <is>
          <t>Pagamento de Bolsa Pesquisa</t>
        </is>
      </c>
      <c r="I41" s="11" t="inlineStr">
        <is>
          <t>Pagamento bolsa para Wenndisson da Silva Souza, 00390179230, referente à parcela 02/09.</t>
        </is>
      </c>
      <c r="J41" s="48" t="n">
        <v>-12000</v>
      </c>
    </row>
    <row r="42" ht="30" customHeight="1">
      <c r="A42" s="9" t="n">
        <v>46239</v>
      </c>
      <c r="B42" s="9" t="n">
        <v>46240</v>
      </c>
      <c r="C42" s="47">
        <f>TEXT(B42,"mmmm")</f>
        <v/>
      </c>
      <c r="D42" s="14" t="inlineStr">
        <is>
          <t>376 - IFAM 2026-006 - Bio Caroço SEBRAE (15335-4)</t>
        </is>
      </c>
      <c r="E42" s="10" t="inlineStr">
        <is>
          <t>Recursos Humanos - Bolsa</t>
        </is>
      </c>
      <c r="F42" s="10" t="inlineStr">
        <is>
          <t>38607/2026</t>
        </is>
      </c>
      <c r="G42" s="10" t="inlineStr">
        <is>
          <t>debito</t>
        </is>
      </c>
      <c r="H42" s="10" t="inlineStr">
        <is>
          <t>Pagamento de Bolsa Pesquisa</t>
        </is>
      </c>
      <c r="I42" s="11" t="inlineStr">
        <is>
          <t>Pagamento bolsa para Gabriel Silveira Alencar, 00548625239, referente à parcela 01/09.</t>
        </is>
      </c>
      <c r="J42" s="48" t="n">
        <v>-5000</v>
      </c>
    </row>
    <row r="43" ht="30" customHeight="1">
      <c r="A43" s="9" t="n">
        <v>46239</v>
      </c>
      <c r="B43" s="9" t="n">
        <v>46240</v>
      </c>
      <c r="C43" s="47">
        <f>TEXT(B43,"mmmm")</f>
        <v/>
      </c>
      <c r="D43" s="14" t="inlineStr">
        <is>
          <t>376 - IFAM 2026-006 - Bio Caroço SEBRAE (15335-4)</t>
        </is>
      </c>
      <c r="E43" s="10" t="inlineStr">
        <is>
          <t>Recursos Humanos - Bolsa</t>
        </is>
      </c>
      <c r="F43" s="10" t="inlineStr">
        <is>
          <t>38608/2026</t>
        </is>
      </c>
      <c r="G43" s="10" t="inlineStr">
        <is>
          <t>debito</t>
        </is>
      </c>
      <c r="H43" s="10" t="inlineStr">
        <is>
          <t>Pagamento de Bolsa Pesquisa</t>
        </is>
      </c>
      <c r="I43" s="11" t="inlineStr">
        <is>
          <t>Pagamento bolsa para Gabriel Silveira Alencar, 00548625239, referente à parcela 02/09.</t>
        </is>
      </c>
      <c r="J43" s="48" t="n">
        <v>-5000</v>
      </c>
    </row>
    <row r="44" ht="30" customHeight="1">
      <c r="A44" s="9" t="n">
        <v>46239</v>
      </c>
      <c r="B44" s="9" t="n">
        <v>46240</v>
      </c>
      <c r="C44" s="47">
        <f>TEXT(B44,"mmmm")</f>
        <v/>
      </c>
      <c r="D44" s="14" t="inlineStr">
        <is>
          <t>376 - IFAM 2026-006 - Bio Caroço SEBRAE (15335-4)</t>
        </is>
      </c>
      <c r="E44" s="10" t="inlineStr">
        <is>
          <t>Recursos Humanos - Bolsa</t>
        </is>
      </c>
      <c r="F44" s="10" t="inlineStr">
        <is>
          <t>38609/2026</t>
        </is>
      </c>
      <c r="G44" s="10" t="inlineStr">
        <is>
          <t>debito</t>
        </is>
      </c>
      <c r="H44" s="10" t="inlineStr">
        <is>
          <t>Pagamento de Bolsa Pesquisa</t>
        </is>
      </c>
      <c r="I44" s="11" t="inlineStr">
        <is>
          <t>Pagamento bolsa para EDUARDO PALHARES JUNIOR, 36861809870, referente à parcela 01/09.</t>
        </is>
      </c>
      <c r="J44" s="48" t="n">
        <v>-7000</v>
      </c>
    </row>
    <row r="45" ht="30" customHeight="1">
      <c r="A45" s="9" t="n">
        <v>46239</v>
      </c>
      <c r="B45" s="9" t="n">
        <v>46240</v>
      </c>
      <c r="C45" s="47">
        <f>TEXT(B45,"mmmm")</f>
        <v/>
      </c>
      <c r="D45" s="14" t="inlineStr">
        <is>
          <t>376 - IFAM 2026-006 - Bio Caroço SEBRAE (15335-4)</t>
        </is>
      </c>
      <c r="E45" s="10" t="inlineStr">
        <is>
          <t>Recursos Humanos - Bolsa</t>
        </is>
      </c>
      <c r="F45" s="10" t="inlineStr">
        <is>
          <t>38610/2026</t>
        </is>
      </c>
      <c r="G45" s="10" t="inlineStr">
        <is>
          <t>debito</t>
        </is>
      </c>
      <c r="H45" s="10" t="inlineStr">
        <is>
          <t>Pagamento de Bolsa Pesquisa</t>
        </is>
      </c>
      <c r="I45" s="11" t="inlineStr">
        <is>
          <t>Pgto. Bolsa para NOBUYUKI ANDRADE ASHIBE, 00209299274, ref. ao mês 06/2026, parcela 01/09.</t>
        </is>
      </c>
      <c r="J45" s="48" t="n">
        <v>-2000</v>
      </c>
    </row>
    <row r="46" ht="30" customHeight="1">
      <c r="A46" s="9" t="n">
        <v>46239</v>
      </c>
      <c r="B46" s="9" t="n">
        <v>46240</v>
      </c>
      <c r="C46" s="47">
        <f>TEXT(B46,"mmmm")</f>
        <v/>
      </c>
      <c r="D46" s="14" t="inlineStr">
        <is>
          <t>376 - IFAM 2026-006 - Bio Caroço SEBRAE (15335-4)</t>
        </is>
      </c>
      <c r="E46" s="10" t="inlineStr">
        <is>
          <t>Recursos Humanos - Bolsa</t>
        </is>
      </c>
      <c r="F46" s="10" t="inlineStr">
        <is>
          <t>38610/2026</t>
        </is>
      </c>
      <c r="G46" s="10" t="inlineStr">
        <is>
          <t>debito</t>
        </is>
      </c>
      <c r="H46" s="10" t="inlineStr">
        <is>
          <t>Pagamento de Bolsa Pesquisa</t>
        </is>
      </c>
      <c r="I46" s="11" t="inlineStr">
        <is>
          <t>Pgto. Bolsa para Jose Mario Castro de Amaral, 07015698242, ref. ao mês 06/2026, parcela 01/09.</t>
        </is>
      </c>
      <c r="J46" s="48" t="n">
        <v>-2000</v>
      </c>
    </row>
    <row r="47" ht="30" customHeight="1">
      <c r="A47" s="9" t="n">
        <v>46239</v>
      </c>
      <c r="B47" s="9" t="n">
        <v>46240</v>
      </c>
      <c r="C47" s="47">
        <f>TEXT(B47,"mmmm")</f>
        <v/>
      </c>
      <c r="D47" s="14" t="inlineStr">
        <is>
          <t>376 - IFAM 2026-006 - Bio Caroço SEBRAE (15335-4)</t>
        </is>
      </c>
      <c r="E47" s="10" t="inlineStr">
        <is>
          <t>Recursos Humanos - Bolsa</t>
        </is>
      </c>
      <c r="F47" s="10" t="inlineStr">
        <is>
          <t>38610/2026</t>
        </is>
      </c>
      <c r="G47" s="10" t="inlineStr">
        <is>
          <t>debito</t>
        </is>
      </c>
      <c r="H47" s="10" t="inlineStr">
        <is>
          <t>Pagamento de Bolsa Pesquisa</t>
        </is>
      </c>
      <c r="I47" s="11" t="inlineStr">
        <is>
          <t>Pgto. Bolsa para Bruno César Falcão, 04572634238, ref. ao mês 06/2026, parcela 01/09.</t>
        </is>
      </c>
      <c r="J47" s="48" t="n">
        <v>-2000</v>
      </c>
    </row>
    <row r="48" ht="30" customHeight="1">
      <c r="A48" s="9" t="n">
        <v>46239</v>
      </c>
      <c r="B48" s="9" t="n">
        <v>46240</v>
      </c>
      <c r="C48" s="47">
        <f>TEXT(B48,"mmmm")</f>
        <v/>
      </c>
      <c r="D48" s="14" t="inlineStr">
        <is>
          <t>376 - IFAM 2026-006 - Bio Caroço SEBRAE (15335-4)</t>
        </is>
      </c>
      <c r="E48" s="10" t="inlineStr">
        <is>
          <t>Recursos Humanos - Bolsa</t>
        </is>
      </c>
      <c r="F48" s="10" t="inlineStr">
        <is>
          <t>38610/2026</t>
        </is>
      </c>
      <c r="G48" s="10" t="inlineStr">
        <is>
          <t>debito</t>
        </is>
      </c>
      <c r="H48" s="10" t="inlineStr">
        <is>
          <t>Pagamento de Bolsa Pesquisa</t>
        </is>
      </c>
      <c r="I48" s="11" t="inlineStr">
        <is>
          <t>Pgto. Bolsa para Gabriel Nogueira de Lima, 00686343239, ref. ao mês 06/2026, parcela 01/09.</t>
        </is>
      </c>
      <c r="J48" s="48" t="n">
        <v>-2000</v>
      </c>
    </row>
    <row r="49" ht="30" customHeight="1">
      <c r="A49" s="9" t="n">
        <v>46239</v>
      </c>
      <c r="B49" s="9" t="n">
        <v>46240</v>
      </c>
      <c r="C49" s="47">
        <f>TEXT(B49,"mmmm")</f>
        <v/>
      </c>
      <c r="D49" s="14" t="inlineStr">
        <is>
          <t>376 - IFAM 2026-006 - Bio Caroço SEBRAE (15335-4)</t>
        </is>
      </c>
      <c r="E49" s="10" t="inlineStr">
        <is>
          <t>Recursos Humanos - Bolsa</t>
        </is>
      </c>
      <c r="F49" s="10" t="inlineStr">
        <is>
          <t>38612/2026</t>
        </is>
      </c>
      <c r="G49" s="10" t="inlineStr">
        <is>
          <t>debito</t>
        </is>
      </c>
      <c r="H49" s="10" t="inlineStr">
        <is>
          <t>Pagamento de Bolsa Pesquisa</t>
        </is>
      </c>
      <c r="I49" s="11" t="inlineStr">
        <is>
          <t>Pgto. Bolsa para NOBUYUKI ANDRADE ASHIBE, 00209299274, ref. ao mês 07/2026, parcela 02/09.</t>
        </is>
      </c>
      <c r="J49" s="48" t="n">
        <v>-2000</v>
      </c>
    </row>
    <row r="50" ht="30" customHeight="1">
      <c r="A50" s="9" t="n">
        <v>46239</v>
      </c>
      <c r="B50" s="9" t="n">
        <v>46240</v>
      </c>
      <c r="C50" s="47">
        <f>TEXT(B50,"mmmm")</f>
        <v/>
      </c>
      <c r="D50" s="14" t="inlineStr">
        <is>
          <t>376 - IFAM 2026-006 - Bio Caroço SEBRAE (15335-4)</t>
        </is>
      </c>
      <c r="E50" s="10" t="inlineStr">
        <is>
          <t>Recursos Humanos - Bolsa</t>
        </is>
      </c>
      <c r="F50" s="10" t="inlineStr">
        <is>
          <t>38612/2026</t>
        </is>
      </c>
      <c r="G50" s="10" t="inlineStr">
        <is>
          <t>debito</t>
        </is>
      </c>
      <c r="H50" s="10" t="inlineStr">
        <is>
          <t>Pagamento de Bolsa Pesquisa</t>
        </is>
      </c>
      <c r="I50" s="11" t="inlineStr">
        <is>
          <t>Pgto. Bolsa para Jose Mario Castro de Amaral, 07015698242, ref. ao mês 07/2026, parcela 02/09.</t>
        </is>
      </c>
      <c r="J50" s="48" t="n">
        <v>-2000</v>
      </c>
    </row>
    <row r="51" ht="30" customHeight="1">
      <c r="A51" s="9" t="n">
        <v>46239</v>
      </c>
      <c r="B51" s="9" t="n">
        <v>46240</v>
      </c>
      <c r="C51" s="47">
        <f>TEXT(B51,"mmmm")</f>
        <v/>
      </c>
      <c r="D51" s="14" t="inlineStr">
        <is>
          <t>376 - IFAM 2026-006 - Bio Caroço SEBRAE (15335-4)</t>
        </is>
      </c>
      <c r="E51" s="10" t="inlineStr">
        <is>
          <t>Recursos Humanos - Bolsa</t>
        </is>
      </c>
      <c r="F51" s="10" t="inlineStr">
        <is>
          <t>38612/2026</t>
        </is>
      </c>
      <c r="G51" s="10" t="inlineStr">
        <is>
          <t>debito</t>
        </is>
      </c>
      <c r="H51" s="10" t="inlineStr">
        <is>
          <t>Pagamento de Bolsa Pesquisa</t>
        </is>
      </c>
      <c r="I51" s="11" t="inlineStr">
        <is>
          <t>Pgto. Bolsa para Bruno César Falcão, 04572634238, ref. ao mês 07/2026, parcela 02/09.</t>
        </is>
      </c>
      <c r="J51" s="48" t="n">
        <v>-2000</v>
      </c>
    </row>
    <row r="52" ht="30" customHeight="1">
      <c r="A52" s="9" t="n">
        <v>46251</v>
      </c>
      <c r="B52" s="9" t="n">
        <v>46252</v>
      </c>
      <c r="C52" s="47">
        <f>TEXT(B52,"mmmm")</f>
        <v/>
      </c>
      <c r="D52" s="14" t="inlineStr">
        <is>
          <t>376 - IFAM 2026-006 - Bio Caroço SEBRAE (15335-4)</t>
        </is>
      </c>
      <c r="E52" s="10" t="inlineStr">
        <is>
          <t>Recursos Humanos - Bolsa</t>
        </is>
      </c>
      <c r="F52" s="10" t="inlineStr">
        <is>
          <t>40212/2026</t>
        </is>
      </c>
      <c r="G52" s="10" t="inlineStr">
        <is>
          <t>debito</t>
        </is>
      </c>
      <c r="H52" s="10" t="inlineStr">
        <is>
          <t>Pagamento de Bolsa Pesquisa</t>
        </is>
      </c>
      <c r="I52" s="11" t="inlineStr">
        <is>
          <t>Pagamento bolsa para Liane de Oliveira Calais Sobreira, 66831555268, referente à parcela 01/09.</t>
        </is>
      </c>
      <c r="J52" s="48" t="n">
        <v>-5000</v>
      </c>
    </row>
    <row r="53" ht="30" customHeight="1">
      <c r="A53" s="9" t="n">
        <v>46251</v>
      </c>
      <c r="B53" s="9" t="n">
        <v>46252</v>
      </c>
      <c r="C53" s="47">
        <f>TEXT(B53,"mmmm")</f>
        <v/>
      </c>
      <c r="D53" s="14" t="inlineStr">
        <is>
          <t>376 - IFAM 2026-006 - Bio Caroço SEBRAE (15335-4)</t>
        </is>
      </c>
      <c r="E53" s="10" t="inlineStr">
        <is>
          <t>Recursos Humanos - Bolsa</t>
        </is>
      </c>
      <c r="F53" s="10" t="inlineStr">
        <is>
          <t>40214/2026</t>
        </is>
      </c>
      <c r="G53" s="10" t="inlineStr">
        <is>
          <t>debito</t>
        </is>
      </c>
      <c r="H53" s="10" t="inlineStr">
        <is>
          <t>Pagamento de Bolsa Pesquisa</t>
        </is>
      </c>
      <c r="I53" s="11" t="inlineStr">
        <is>
          <t>Pagamento bolsa para RAFAEL FREIRE COUTO DA SILVA, 70386477418, referente à parcela 01/09.</t>
        </is>
      </c>
      <c r="J53" s="48" t="n">
        <v>-2000</v>
      </c>
    </row>
    <row r="54" ht="30" customHeight="1">
      <c r="A54" s="9" t="n">
        <v>46251</v>
      </c>
      <c r="B54" s="9" t="n">
        <v>46252</v>
      </c>
      <c r="C54" s="47">
        <f>TEXT(B54,"mmmm")</f>
        <v/>
      </c>
      <c r="D54" s="14" t="inlineStr">
        <is>
          <t>376 - IFAM 2026-006 - Bio Caroço SEBRAE (15335-4)</t>
        </is>
      </c>
      <c r="E54" s="10" t="inlineStr">
        <is>
          <t>Recursos Humanos - Bolsa</t>
        </is>
      </c>
      <c r="F54" s="10" t="inlineStr">
        <is>
          <t>40215/2026</t>
        </is>
      </c>
      <c r="G54" s="10" t="inlineStr">
        <is>
          <t>debito</t>
        </is>
      </c>
      <c r="H54" s="10" t="inlineStr">
        <is>
          <t>Pagamento de Bolsa Pesquisa</t>
        </is>
      </c>
      <c r="I54" s="11" t="inlineStr">
        <is>
          <t>Pagamento bolsa para Gabriel Clávila Soares, 52868826253, referente à parcela 01/09.</t>
        </is>
      </c>
      <c r="J54" s="48" t="n">
        <v>-5000</v>
      </c>
    </row>
    <row r="55" ht="30" customHeight="1">
      <c r="A55" s="9" t="n">
        <v>46251</v>
      </c>
      <c r="B55" s="9" t="n">
        <v>46252</v>
      </c>
      <c r="C55" s="47">
        <f>TEXT(B55,"mmmm")</f>
        <v/>
      </c>
      <c r="D55" s="14" t="inlineStr">
        <is>
          <t>376 - IFAM 2026-006 - Bio Caroço SEBRAE (15335-4)</t>
        </is>
      </c>
      <c r="E55" s="10" t="inlineStr">
        <is>
          <t>Recursos Humanos - Bolsa</t>
        </is>
      </c>
      <c r="F55" s="10" t="inlineStr">
        <is>
          <t>40216/2026</t>
        </is>
      </c>
      <c r="G55" s="10" t="inlineStr">
        <is>
          <t>debito</t>
        </is>
      </c>
      <c r="H55" s="10" t="inlineStr">
        <is>
          <t>Pagamento de Bolsa Pesquisa</t>
        </is>
      </c>
      <c r="I55" s="11" t="inlineStr">
        <is>
          <t>Pagamento bolsa para Sandro Haiden Teixeira , 04258764205, referente à parcela 01/09.</t>
        </is>
      </c>
      <c r="J55" s="48" t="n">
        <v>-5000</v>
      </c>
    </row>
    <row r="56" ht="45" customHeight="1">
      <c r="A56" s="9" t="n">
        <v>46268</v>
      </c>
      <c r="B56" s="9" t="n">
        <v>46269</v>
      </c>
      <c r="C56" s="47">
        <f>TEXT(B56,"mmmm")</f>
        <v/>
      </c>
      <c r="D56" s="13" t="inlineStr">
        <is>
          <t>376 - IFAM 2026-006 - Bio Caroço SEBRAE (15335-4)</t>
        </is>
      </c>
      <c r="E56" s="10" t="inlineStr">
        <is>
          <t>Recursos Humanos - Bolsa</t>
        </is>
      </c>
      <c r="F56" s="10" t="inlineStr">
        <is>
          <t>45272/2026</t>
        </is>
      </c>
      <c r="G56" s="10" t="inlineStr">
        <is>
          <t>debito</t>
        </is>
      </c>
      <c r="H56" s="10" t="inlineStr">
        <is>
          <t>Pagamento de Bolsa Pesquisa</t>
        </is>
      </c>
      <c r="I56" s="11" t="inlineStr">
        <is>
          <t>Pagamento bolsa para Wenndisson da Silva Souza, 00390179230, referente à parcela 03/09.</t>
        </is>
      </c>
      <c r="J56" s="48" t="n">
        <v>-12000</v>
      </c>
    </row>
    <row r="57" ht="45" customHeight="1">
      <c r="A57" s="9" t="n">
        <v>46273</v>
      </c>
      <c r="B57" s="9" t="n">
        <v>46274</v>
      </c>
      <c r="C57" s="47">
        <f>TEXT(B57,"mmmm")</f>
        <v/>
      </c>
      <c r="D57" s="13" t="inlineStr">
        <is>
          <t>376 - IFAM 2026-006 - Bio Caroço SEBRAE (15335-4)</t>
        </is>
      </c>
      <c r="E57" s="10" t="inlineStr">
        <is>
          <t>Recursos Humanos - Bolsa</t>
        </is>
      </c>
      <c r="F57" s="10" t="inlineStr">
        <is>
          <t>45719/2026</t>
        </is>
      </c>
      <c r="G57" s="10" t="inlineStr">
        <is>
          <t>debito</t>
        </is>
      </c>
      <c r="H57" s="10" t="inlineStr">
        <is>
          <t>Pagamento de Bolsa Pesquisa</t>
        </is>
      </c>
      <c r="I57" s="11" t="inlineStr">
        <is>
          <t>Pagamento bolsa para Gabriel Silveira Alencar, 00548625239, referente à parcela 03/09.</t>
        </is>
      </c>
      <c r="J57" s="48" t="n">
        <v>-5000</v>
      </c>
    </row>
    <row r="58" ht="45" customHeight="1">
      <c r="A58" s="9" t="n">
        <v>46273</v>
      </c>
      <c r="B58" s="9" t="n">
        <v>46274</v>
      </c>
      <c r="C58" s="47">
        <f>TEXT(B58,"mmmm")</f>
        <v/>
      </c>
      <c r="D58" s="13" t="inlineStr">
        <is>
          <t>376 - IFAM 2026-006 - Bio Caroço SEBRAE (15335-4)</t>
        </is>
      </c>
      <c r="E58" s="10" t="inlineStr">
        <is>
          <t>Recursos Humanos - Bolsa</t>
        </is>
      </c>
      <c r="F58" s="10" t="inlineStr">
        <is>
          <t>45720/2026</t>
        </is>
      </c>
      <c r="G58" s="10" t="inlineStr">
        <is>
          <t>debito</t>
        </is>
      </c>
      <c r="H58" s="10" t="inlineStr">
        <is>
          <t>Pagamento de Bolsa Pesquisa</t>
        </is>
      </c>
      <c r="I58" s="11" t="inlineStr">
        <is>
          <t>Pagamento bolsa para NOBUYUKI ANDRADE ASHIBE, 00209299274, referente à parcela 03/09.</t>
        </is>
      </c>
      <c r="J58" s="48" t="n">
        <v>-2000</v>
      </c>
    </row>
    <row r="59" ht="45" customHeight="1">
      <c r="A59" s="9" t="n">
        <v>46273</v>
      </c>
      <c r="B59" s="9" t="n">
        <v>46274</v>
      </c>
      <c r="C59" s="47">
        <f>TEXT(B59,"mmmm")</f>
        <v/>
      </c>
      <c r="D59" s="13" t="inlineStr">
        <is>
          <t>376 - IFAM 2026-006 - Bio Caroço SEBRAE (15335-4)</t>
        </is>
      </c>
      <c r="E59" s="10" t="inlineStr">
        <is>
          <t>Recursos Humanos - Bolsa</t>
        </is>
      </c>
      <c r="F59" s="10" t="inlineStr">
        <is>
          <t>45721/2026</t>
        </is>
      </c>
      <c r="G59" s="10" t="inlineStr">
        <is>
          <t>debito</t>
        </is>
      </c>
      <c r="H59" s="10" t="inlineStr">
        <is>
          <t>Pagamento de Bolsa Pesquisa</t>
        </is>
      </c>
      <c r="I59" s="11" t="inlineStr">
        <is>
          <t>Pagamento bolsa para Bruno César Falcão, 04572634238, referente à parcela 03/09.</t>
        </is>
      </c>
      <c r="J59" s="48" t="n">
        <v>-2000</v>
      </c>
    </row>
    <row r="60" ht="45" customHeight="1">
      <c r="A60" s="9" t="n">
        <v>46273</v>
      </c>
      <c r="B60" s="9" t="n">
        <v>46274</v>
      </c>
      <c r="C60" s="47">
        <f>TEXT(B60,"mmmm")</f>
        <v/>
      </c>
      <c r="D60" s="13" t="inlineStr">
        <is>
          <t>376 - IFAM 2026-006 - Bio Caroço SEBRAE (15335-4)</t>
        </is>
      </c>
      <c r="E60" s="10" t="inlineStr">
        <is>
          <t>Recursos Humanos - Bolsa</t>
        </is>
      </c>
      <c r="F60" s="10" t="inlineStr">
        <is>
          <t>45722/2026</t>
        </is>
      </c>
      <c r="G60" s="10" t="inlineStr">
        <is>
          <t>debito</t>
        </is>
      </c>
      <c r="H60" s="10" t="inlineStr">
        <is>
          <t>Pagamento de Bolsa Pesquisa</t>
        </is>
      </c>
      <c r="I60" s="11" t="inlineStr">
        <is>
          <t>Pagamento bolsa para EDUARDO PALHARES JUNIOR, 36861809870, referente à parcela 02/09.</t>
        </is>
      </c>
      <c r="J60" s="48" t="n">
        <v>-7000</v>
      </c>
    </row>
    <row r="61" ht="45" customHeight="1">
      <c r="A61" s="9" t="n">
        <v>46273</v>
      </c>
      <c r="B61" s="9" t="n">
        <v>46274</v>
      </c>
      <c r="C61" s="47">
        <f>TEXT(B61,"mmmm")</f>
        <v/>
      </c>
      <c r="D61" s="13" t="inlineStr">
        <is>
          <t>376 - IFAM 2026-006 - Bio Caroço SEBRAE (15335-4)</t>
        </is>
      </c>
      <c r="E61" s="10" t="inlineStr">
        <is>
          <t>Recursos Humanos - Bolsa</t>
        </is>
      </c>
      <c r="F61" s="10" t="inlineStr">
        <is>
          <t>45723/2026</t>
        </is>
      </c>
      <c r="G61" s="10" t="inlineStr">
        <is>
          <t>debito</t>
        </is>
      </c>
      <c r="H61" s="10" t="inlineStr">
        <is>
          <t>Pagamento de Bolsa Pesquisa</t>
        </is>
      </c>
      <c r="I61" s="11" t="inlineStr">
        <is>
          <t>Pagamento bolsa para EDUARDO PALHARES JUNIOR, 36861809870, referente à parcela 03/09.</t>
        </is>
      </c>
      <c r="J61" s="48" t="n">
        <v>-7000</v>
      </c>
    </row>
    <row r="62" ht="45" customHeight="1">
      <c r="A62" s="9" t="n">
        <v>46273</v>
      </c>
      <c r="B62" s="9" t="n">
        <v>46274</v>
      </c>
      <c r="C62" s="47">
        <f>TEXT(B62,"mmmm")</f>
        <v/>
      </c>
      <c r="D62" s="13" t="inlineStr">
        <is>
          <t>376 - IFAM 2026-006 - Bio Caroço SEBRAE (15335-4)</t>
        </is>
      </c>
      <c r="E62" s="10" t="inlineStr">
        <is>
          <t>Recursos Humanos - Bolsa</t>
        </is>
      </c>
      <c r="F62" s="10" t="inlineStr">
        <is>
          <t>45724/2026</t>
        </is>
      </c>
      <c r="G62" s="10" t="inlineStr">
        <is>
          <t>debito</t>
        </is>
      </c>
      <c r="H62" s="10" t="inlineStr">
        <is>
          <t>Pagamento de Bolsa Pesquisa</t>
        </is>
      </c>
      <c r="I62" s="11" t="inlineStr">
        <is>
          <t>Pagamento bolsa para Gabriel Clávila Soares, 52868826253, referente à parcela 02/09.</t>
        </is>
      </c>
      <c r="J62" s="48" t="n">
        <v>-5000</v>
      </c>
    </row>
    <row r="63" ht="45" customHeight="1">
      <c r="A63" s="9" t="n">
        <v>46273</v>
      </c>
      <c r="B63" s="9" t="n">
        <v>46274</v>
      </c>
      <c r="C63" s="47">
        <f>TEXT(B63,"mmmm")</f>
        <v/>
      </c>
      <c r="D63" s="13" t="inlineStr">
        <is>
          <t>376 - IFAM 2026-006 - Bio Caroço SEBRAE (15335-4)</t>
        </is>
      </c>
      <c r="E63" s="10" t="inlineStr">
        <is>
          <t>Recursos Humanos - Bolsa</t>
        </is>
      </c>
      <c r="F63" s="10" t="inlineStr">
        <is>
          <t>45725/2026</t>
        </is>
      </c>
      <c r="G63" s="10" t="inlineStr">
        <is>
          <t>debito</t>
        </is>
      </c>
      <c r="H63" s="10" t="inlineStr">
        <is>
          <t>Pagamento de Bolsa Pesquisa</t>
        </is>
      </c>
      <c r="I63" s="11" t="inlineStr">
        <is>
          <t>Pagamento bolsa para Sandro Haiden Teixeira , 04258764205, referente à parcela 02/09.</t>
        </is>
      </c>
      <c r="J63" s="48" t="n">
        <v>-5000</v>
      </c>
    </row>
    <row r="64" ht="30" customHeight="1">
      <c r="A64" s="9" t="n">
        <v>46274</v>
      </c>
      <c r="B64" s="9" t="n">
        <v>46276</v>
      </c>
      <c r="C64" s="47">
        <f>TEXT(B64,"mmmm")</f>
        <v/>
      </c>
      <c r="D64" s="14" t="inlineStr">
        <is>
          <t>376 - IFAM 2026-006 - Bio Caroço SEBRAE (15335-4)</t>
        </is>
      </c>
      <c r="E64" s="10" t="inlineStr">
        <is>
          <t>Recursos Humanos - Bolsa</t>
        </is>
      </c>
      <c r="F64" s="10" t="inlineStr">
        <is>
          <t>45940/2026</t>
        </is>
      </c>
      <c r="G64" s="10" t="inlineStr">
        <is>
          <t>debito</t>
        </is>
      </c>
      <c r="H64" s="10" t="inlineStr">
        <is>
          <t>Pagamento de Bolsa Pesquisa</t>
        </is>
      </c>
      <c r="I64" s="11" t="inlineStr">
        <is>
          <t>Pagamento bolsa para RAFAEL FREIRE COUTO DA SILVA, 70386477418, referente à parcela 02/09.</t>
        </is>
      </c>
      <c r="J64" s="48" t="n">
        <v>-2000</v>
      </c>
    </row>
    <row r="65" ht="30" customHeight="1">
      <c r="A65" s="9" t="n">
        <v>46274</v>
      </c>
      <c r="B65" s="9" t="n">
        <v>46276</v>
      </c>
      <c r="C65" s="47">
        <f>TEXT(B65,"mmmm")</f>
        <v/>
      </c>
      <c r="D65" s="14" t="inlineStr">
        <is>
          <t>376 - IFAM 2026-006 - Bio Caroço SEBRAE (15335-4)</t>
        </is>
      </c>
      <c r="E65" s="10" t="inlineStr">
        <is>
          <t>Recursos Humanos - Bolsa</t>
        </is>
      </c>
      <c r="F65" s="10" t="inlineStr">
        <is>
          <t>46007/2026</t>
        </is>
      </c>
      <c r="G65" s="10" t="inlineStr">
        <is>
          <t>debito</t>
        </is>
      </c>
      <c r="H65" s="10" t="inlineStr">
        <is>
          <t>Pagamento de Bolsa Pesquisa</t>
        </is>
      </c>
      <c r="I65" s="11" t="inlineStr">
        <is>
          <t>Pagamento bolsa para Liane de Oliveira Calais Sobreira, 66831555268, referente à parcela 02/09.</t>
        </is>
      </c>
      <c r="J65" s="48" t="n">
        <v>-5000</v>
      </c>
    </row>
    <row r="66" ht="30" customHeight="1">
      <c r="A66" s="9" t="n">
        <v>46304</v>
      </c>
      <c r="B66" s="9" t="n">
        <v>46308</v>
      </c>
      <c r="C66" s="47">
        <f>TEXT(B66,"mmmm")</f>
        <v/>
      </c>
      <c r="D66" s="14" t="inlineStr">
        <is>
          <t>376 - IFAM 2026-006 - Bio Caroço SEBRAE (15335-4)</t>
        </is>
      </c>
      <c r="E66" s="10" t="inlineStr">
        <is>
          <t>Recursos Humanos - Bolsa</t>
        </is>
      </c>
      <c r="F66" s="10" t="inlineStr">
        <is>
          <t>53335/2026</t>
        </is>
      </c>
      <c r="G66" s="10" t="inlineStr">
        <is>
          <t>debito</t>
        </is>
      </c>
      <c r="H66" s="10" t="inlineStr">
        <is>
          <t>Pagamento de Bolsa Pesquisa</t>
        </is>
      </c>
      <c r="I66" s="11" t="inlineStr">
        <is>
          <t>Pagamento bolsa para Bruno César Falcão, 04572634238, referente à parcela 04/09.</t>
        </is>
      </c>
      <c r="J66" s="48" t="n">
        <v>-2000</v>
      </c>
    </row>
    <row r="67" ht="30" customHeight="1">
      <c r="A67" s="9" t="n">
        <v>46304</v>
      </c>
      <c r="B67" s="9" t="n">
        <v>46308</v>
      </c>
      <c r="C67" s="47">
        <f>TEXT(B67,"mmmm")</f>
        <v/>
      </c>
      <c r="D67" s="14" t="inlineStr">
        <is>
          <t>376 - IFAM 2026-006 - Bio Caroço SEBRAE (15335-4)</t>
        </is>
      </c>
      <c r="E67" s="10" t="inlineStr">
        <is>
          <t>Recursos Humanos - Bolsa</t>
        </is>
      </c>
      <c r="F67" s="10" t="inlineStr">
        <is>
          <t>53341/2026</t>
        </is>
      </c>
      <c r="G67" s="10" t="inlineStr">
        <is>
          <t>debito</t>
        </is>
      </c>
      <c r="H67" s="10" t="inlineStr">
        <is>
          <t>Pagamento de Bolsa Pesquisa</t>
        </is>
      </c>
      <c r="I67" s="11" t="inlineStr">
        <is>
          <t>Pagamento bolsa para Gabriel Clávila Soares, 52868826253, referente à parcela 03/09.</t>
        </is>
      </c>
      <c r="J67" s="48" t="n">
        <v>-5000</v>
      </c>
    </row>
    <row r="68" ht="30" customHeight="1">
      <c r="A68" s="9" t="n">
        <v>46308</v>
      </c>
      <c r="B68" s="9" t="n">
        <v>46309</v>
      </c>
      <c r="C68" s="47">
        <f>TEXT(B68,"mmmm")</f>
        <v/>
      </c>
      <c r="D68" s="14" t="inlineStr">
        <is>
          <t>376 - IFAM 2026-006 - Bio Caroço SEBRAE (15335-4)</t>
        </is>
      </c>
      <c r="E68" s="10" t="inlineStr">
        <is>
          <t>Recursos Humanos - Bolsa</t>
        </is>
      </c>
      <c r="F68" s="10" t="inlineStr">
        <is>
          <t>53408/2026</t>
        </is>
      </c>
      <c r="G68" s="10" t="inlineStr">
        <is>
          <t>debito</t>
        </is>
      </c>
      <c r="H68" s="10" t="inlineStr">
        <is>
          <t>Pagamento de Bolsa Pesquisa</t>
        </is>
      </c>
      <c r="I68" s="11" t="inlineStr">
        <is>
          <t>Pagamento bolsa para Liane de Oliveira Calais Sobreira, 66831555268, referente à parcela 03/09.</t>
        </is>
      </c>
      <c r="J68" s="48" t="n">
        <v>-5000</v>
      </c>
    </row>
    <row r="69" ht="30" customHeight="1">
      <c r="A69" s="9" t="n">
        <v>46310</v>
      </c>
      <c r="B69" s="9" t="n">
        <v>46311</v>
      </c>
      <c r="C69" s="47">
        <f>TEXT(B69,"mmmm")</f>
        <v/>
      </c>
      <c r="D69" s="14" t="inlineStr">
        <is>
          <t>376 - IFAM 2026-006 - Bio Caroço SEBRAE (15335-4)</t>
        </is>
      </c>
      <c r="E69" s="10" t="inlineStr">
        <is>
          <t>Recursos Humanos - Bolsa</t>
        </is>
      </c>
      <c r="F69" s="10" t="inlineStr">
        <is>
          <t>54369/2026</t>
        </is>
      </c>
      <c r="G69" s="10" t="inlineStr">
        <is>
          <t>debito</t>
        </is>
      </c>
      <c r="H69" s="10" t="inlineStr">
        <is>
          <t>Pagamento de Bolsa Pesquisa</t>
        </is>
      </c>
      <c r="I69" s="11" t="inlineStr">
        <is>
          <t>Pagamento bolsa para RAFAEL FREIRE COUTO DA SILVA, 70386477418, referente à parcela 03/09.</t>
        </is>
      </c>
      <c r="J69" s="48" t="n">
        <v>-2000</v>
      </c>
    </row>
    <row r="70" ht="30" customHeight="1">
      <c r="A70" s="9" t="n">
        <v>46310</v>
      </c>
      <c r="B70" s="9" t="n">
        <v>46311</v>
      </c>
      <c r="C70" s="47">
        <f>TEXT(B70,"mmmm")</f>
        <v/>
      </c>
      <c r="D70" s="14" t="inlineStr">
        <is>
          <t>376 - IFAM 2026-006 - Bio Caroço SEBRAE (15335-4)</t>
        </is>
      </c>
      <c r="E70" s="10" t="inlineStr">
        <is>
          <t>Recursos Humanos - Bolsa</t>
        </is>
      </c>
      <c r="F70" s="10" t="inlineStr">
        <is>
          <t>54370/2026</t>
        </is>
      </c>
      <c r="G70" s="10" t="inlineStr">
        <is>
          <t>debito</t>
        </is>
      </c>
      <c r="H70" s="10" t="inlineStr">
        <is>
          <t>Pagamento de Bolsa Pesquisa</t>
        </is>
      </c>
      <c r="I70" s="11" t="inlineStr">
        <is>
          <t>Pagamento bolsa para RAFAEL FREIRE COUTO DA SILVA, 70386477418, referente à parcela 04/09.</t>
        </is>
      </c>
      <c r="J70" s="48" t="n">
        <v>-2000</v>
      </c>
    </row>
    <row r="71" ht="30" customHeight="1">
      <c r="A71" s="9" t="n">
        <v>46220</v>
      </c>
      <c r="B71" s="9" t="n">
        <v>46220</v>
      </c>
      <c r="C71" s="47">
        <f>TEXT(B71,"mmmm")</f>
        <v/>
      </c>
      <c r="D71" s="14" t="inlineStr">
        <is>
          <t>376 - IFAM 2026-006 - Bio Caroço SEBRAE (15335-4)</t>
        </is>
      </c>
      <c r="E71" s="10" t="inlineStr">
        <is>
          <t>Tarifas Bancárias</t>
        </is>
      </c>
      <c r="F71" s="10" t="inlineStr">
        <is>
          <t>38372/2026</t>
        </is>
      </c>
      <c r="G71" s="10" t="inlineStr">
        <is>
          <t>debito</t>
        </is>
      </c>
      <c r="H71" s="10" t="inlineStr">
        <is>
          <t>Pagamento de Despesa Administrativa e Financeira</t>
        </is>
      </c>
      <c r="I71" s="11" t="inlineStr">
        <is>
          <t>Tarifa bancária do projeto 376 - IFAM 2026-006 - Bio Caroço SEBRAE (15335-4) importada do arquivo de extrato para conciliação bancária.</t>
        </is>
      </c>
      <c r="J71" s="48" t="n">
        <v>-3.16</v>
      </c>
    </row>
    <row r="72" ht="60" customHeight="1">
      <c r="A72" s="9" t="n">
        <v>46238</v>
      </c>
      <c r="B72" s="9" t="n">
        <v>46238</v>
      </c>
      <c r="C72" s="47">
        <f>TEXT(B72,"mmmm")</f>
        <v/>
      </c>
      <c r="D72" s="14" t="inlineStr">
        <is>
          <t>376 - IFAM 2026-006 - Bio Caroço SEBRAE (15335-4)</t>
        </is>
      </c>
      <c r="E72" s="10" t="inlineStr">
        <is>
          <t>Tarifas Bancárias</t>
        </is>
      </c>
      <c r="F72" s="10" t="inlineStr">
        <is>
          <t>45091/2026</t>
        </is>
      </c>
      <c r="G72" s="10" t="inlineStr">
        <is>
          <t>debito</t>
        </is>
      </c>
      <c r="H72" s="10" t="inlineStr">
        <is>
          <t>Pagamento de Despesa Administrativa e Financeira</t>
        </is>
      </c>
      <c r="I72" s="11" t="inlineStr">
        <is>
          <t>Tarifa bancária do projeto 376 - IFAM 2026-006 - Bio Caroço SEBRAE (15335-4) importada do arquivo de extrato para conciliação bancária.</t>
        </is>
      </c>
      <c r="J72" s="48" t="n">
        <v>-34.5</v>
      </c>
    </row>
    <row r="73" ht="30" customHeight="1">
      <c r="A73" s="9" t="n">
        <v>46240</v>
      </c>
      <c r="B73" s="9" t="n">
        <v>46240</v>
      </c>
      <c r="C73" s="47">
        <f>TEXT(B73,"mmmm")</f>
        <v/>
      </c>
      <c r="D73" s="14" t="inlineStr">
        <is>
          <t>376 - IFAM 2026-006 - Bio Caroço SEBRAE (15335-4)</t>
        </is>
      </c>
      <c r="E73" s="10" t="inlineStr">
        <is>
          <t>Tarifas Bancárias</t>
        </is>
      </c>
      <c r="F73" s="10" t="inlineStr">
        <is>
          <t>45095/2026</t>
        </is>
      </c>
      <c r="G73" s="10" t="inlineStr">
        <is>
          <t>debito</t>
        </is>
      </c>
      <c r="H73" s="10" t="inlineStr">
        <is>
          <t>Pagamento de Despesa Administrativa e Financeira</t>
        </is>
      </c>
      <c r="I73" s="11" t="inlineStr">
        <is>
          <t>Tarifa bancária do projeto 376 - IFAM 2026-006 - Bio Caroço SEBRAE (15335-4) importada do arquivo de extrato para conciliação bancária.</t>
        </is>
      </c>
      <c r="J73" s="48" t="n">
        <v>-28.44</v>
      </c>
    </row>
    <row r="74" ht="30" customHeight="1">
      <c r="A74" s="9" t="n">
        <v>46252</v>
      </c>
      <c r="B74" s="9" t="n">
        <v>46252</v>
      </c>
      <c r="C74" s="47">
        <f>TEXT(B74,"mmmm")</f>
        <v/>
      </c>
      <c r="D74" s="14" t="inlineStr">
        <is>
          <t>376 - IFAM 2026-006 - Bio Caroço SEBRAE (15335-4)</t>
        </is>
      </c>
      <c r="E74" s="10" t="inlineStr">
        <is>
          <t>Tarifas Bancárias</t>
        </is>
      </c>
      <c r="F74" s="10" t="inlineStr">
        <is>
          <t>45093/2026</t>
        </is>
      </c>
      <c r="G74" s="10" t="inlineStr">
        <is>
          <t>debito</t>
        </is>
      </c>
      <c r="H74" s="10" t="inlineStr">
        <is>
          <t>Pagamento de Despesa Administrativa e Financeira</t>
        </is>
      </c>
      <c r="I74" s="11" t="inlineStr">
        <is>
          <t>Tarifa bancária do projeto 376 - IFAM 2026-006 - Bio Caroço SEBRAE (15335-4) importada do arquivo de extrato para conciliação bancária.</t>
        </is>
      </c>
      <c r="J74" s="48" t="n">
        <v>-12.64</v>
      </c>
    </row>
    <row r="75" ht="30" customHeight="1">
      <c r="A75" s="9" t="n">
        <v>46267</v>
      </c>
      <c r="B75" s="9" t="n">
        <v>46267</v>
      </c>
      <c r="C75" s="47">
        <f>TEXT(B75,"mmmm")</f>
        <v/>
      </c>
      <c r="D75" s="14" t="inlineStr">
        <is>
          <t>376 - IFAM 2026-006 - Bio Caroço SEBRAE (15335-4)</t>
        </is>
      </c>
      <c r="E75" s="10" t="inlineStr">
        <is>
          <t>Tarifas Bancárias</t>
        </is>
      </c>
      <c r="F75" s="10" t="inlineStr">
        <is>
          <t>47792/2026</t>
        </is>
      </c>
      <c r="G75" s="10" t="inlineStr">
        <is>
          <t>debito</t>
        </is>
      </c>
      <c r="H75" s="10" t="inlineStr">
        <is>
          <t>Pagamento de Despesa Administrativa e Financeira</t>
        </is>
      </c>
      <c r="I75" s="11" t="inlineStr">
        <is>
          <t>Tarifa bancária do projeto 376 - IFAM 2026-006 - Bio Caroço SEBRAE (15335-4) importada do arquivo de extrato para conciliação bancária.</t>
        </is>
      </c>
      <c r="J75" s="48" t="n">
        <v>-34.5</v>
      </c>
    </row>
    <row r="76" ht="30" customHeight="1">
      <c r="A76" s="9" t="n">
        <v>46269</v>
      </c>
      <c r="B76" s="9" t="n">
        <v>46269</v>
      </c>
      <c r="C76" s="47">
        <f>TEXT(B76,"mmmm")</f>
        <v/>
      </c>
      <c r="D76" s="14" t="inlineStr">
        <is>
          <t>376 - IFAM 2026-006 - Bio Caroço SEBRAE (15335-4)</t>
        </is>
      </c>
      <c r="E76" s="10" t="inlineStr">
        <is>
          <t>Tarifas Bancárias</t>
        </is>
      </c>
      <c r="F76" s="10" t="inlineStr">
        <is>
          <t>47794/2026</t>
        </is>
      </c>
      <c r="G76" s="10" t="inlineStr">
        <is>
          <t>debito</t>
        </is>
      </c>
      <c r="H76" s="10" t="inlineStr">
        <is>
          <t>Pagamento de Despesa Administrativa e Financeira</t>
        </is>
      </c>
      <c r="I76" s="11" t="inlineStr">
        <is>
          <t>Tarifa bancária do projeto 376 - IFAM 2026-006 - Bio Caroço SEBRAE (15335-4) importada do arquivo de extrato para conciliação bancária.</t>
        </is>
      </c>
      <c r="J76" s="48" t="n">
        <v>-3.16</v>
      </c>
    </row>
    <row r="77" ht="30" customHeight="1">
      <c r="A77" s="9" t="n">
        <v>46274</v>
      </c>
      <c r="B77" s="9" t="n">
        <v>46274</v>
      </c>
      <c r="C77" s="47">
        <f>TEXT(B77,"mmmm")</f>
        <v/>
      </c>
      <c r="D77" s="14" t="inlineStr">
        <is>
          <t>376 - IFAM 2026-006 - Bio Caroço SEBRAE (15335-4)</t>
        </is>
      </c>
      <c r="E77" s="10" t="inlineStr">
        <is>
          <t>Tarifas Bancárias</t>
        </is>
      </c>
      <c r="F77" s="10" t="inlineStr">
        <is>
          <t>47798/2026</t>
        </is>
      </c>
      <c r="G77" s="10" t="inlineStr">
        <is>
          <t>debito</t>
        </is>
      </c>
      <c r="H77" s="10" t="inlineStr">
        <is>
          <t>Pagamento de Despesa Administrativa e Financeira</t>
        </is>
      </c>
      <c r="I77" s="11" t="inlineStr">
        <is>
          <t>Tarifa bancária do projeto 376 - IFAM 2026-006 - Bio Caroço SEBRAE (15335-4) importada do arquivo de extrato para conciliação bancária.</t>
        </is>
      </c>
      <c r="J77" s="48" t="n">
        <v>-18.96</v>
      </c>
    </row>
    <row r="78" ht="30" customHeight="1">
      <c r="A78" s="9" t="n">
        <v>46276</v>
      </c>
      <c r="B78" s="9" t="n">
        <v>46276</v>
      </c>
      <c r="C78" s="47">
        <f>TEXT(B78,"mmmm")</f>
        <v/>
      </c>
      <c r="D78" s="14" t="inlineStr">
        <is>
          <t>376 - IFAM 2026-006 - Bio Caroço SEBRAE (15335-4)</t>
        </is>
      </c>
      <c r="E78" s="10" t="inlineStr">
        <is>
          <t>Tarifas Bancárias</t>
        </is>
      </c>
      <c r="F78" s="10" t="inlineStr">
        <is>
          <t>47796/2026</t>
        </is>
      </c>
      <c r="G78" s="10" t="inlineStr">
        <is>
          <t>debito</t>
        </is>
      </c>
      <c r="H78" s="10" t="inlineStr">
        <is>
          <t>Pagamento de Despesa Administrativa e Financeira</t>
        </is>
      </c>
      <c r="I78" s="11" t="inlineStr">
        <is>
          <t>Tarifa bancária do projeto 376 - IFAM 2026-006 - Bio Caroço SEBRAE (15335-4) importada do arquivo de extrato para conciliação bancária.</t>
        </is>
      </c>
      <c r="J78" s="48" t="n">
        <v>-6.32</v>
      </c>
    </row>
    <row r="79" ht="45" customHeight="1">
      <c r="A79" s="9" t="n">
        <v>46297</v>
      </c>
      <c r="B79" s="9" t="n">
        <v>46297</v>
      </c>
      <c r="C79" s="47">
        <f>TEXT(B79,"mmmm")</f>
        <v/>
      </c>
      <c r="D79" s="14" t="inlineStr">
        <is>
          <t>376 - IFAM 2026-006 - Bio Caroço SEBRAE (15335-4)</t>
        </is>
      </c>
      <c r="E79" s="10" t="inlineStr">
        <is>
          <t>Tarifas Bancárias</t>
        </is>
      </c>
      <c r="F79" s="10" t="inlineStr">
        <is>
          <t>53075/2026</t>
        </is>
      </c>
      <c r="G79" s="10" t="inlineStr">
        <is>
          <t>debito</t>
        </is>
      </c>
      <c r="H79" s="10" t="inlineStr">
        <is>
          <t>Pagamento de Despesa Administrativa e Financeira</t>
        </is>
      </c>
      <c r="I79" s="11" t="inlineStr">
        <is>
          <t>Tarifa bancária do projeto 376 - IFAM 2026-006 - Bio Caroço SEBRAE (15335-4) importada do arquivo de extrato para conciliação bancária.</t>
        </is>
      </c>
      <c r="J79" s="48" t="n">
        <v>-34.5</v>
      </c>
    </row>
    <row r="80" ht="45" customHeight="1">
      <c r="A80" s="9" t="n">
        <v>46308</v>
      </c>
      <c r="B80" s="9" t="n">
        <v>46308</v>
      </c>
      <c r="C80" s="47">
        <f>TEXT(B80,"mmmm")</f>
        <v/>
      </c>
      <c r="D80" s="14" t="inlineStr">
        <is>
          <t>376 - IFAM 2026-006 - Bio Caroço SEBRAE (15335-4)</t>
        </is>
      </c>
      <c r="E80" s="10" t="inlineStr">
        <is>
          <t>Tarifas Bancárias</t>
        </is>
      </c>
      <c r="F80" s="10" t="inlineStr">
        <is>
          <t>56229/2026</t>
        </is>
      </c>
      <c r="G80" s="10" t="inlineStr">
        <is>
          <t>debito</t>
        </is>
      </c>
      <c r="H80" s="10" t="inlineStr">
        <is>
          <t>Pagamento de Despesa Administrativa e Financeira</t>
        </is>
      </c>
      <c r="I80" s="11" t="inlineStr">
        <is>
          <t>Tarifa bancÃ¡ria do projeto 376 - IFAM 2026-006 - Bio Caroço SEBRAE (15335-4) importada do arquivo de extrato para conciliaÃ§Ã£o bancÃ¡ria.</t>
        </is>
      </c>
      <c r="J80" s="48" t="n">
        <v>-3.16</v>
      </c>
    </row>
    <row r="81" ht="45" customHeight="1">
      <c r="A81" s="9" t="n">
        <v>46309</v>
      </c>
      <c r="B81" s="9" t="n">
        <v>46309</v>
      </c>
      <c r="C81" s="47">
        <f>TEXT(B81,"mmmm")</f>
        <v/>
      </c>
      <c r="D81" s="14" t="inlineStr">
        <is>
          <t>376 - IFAM 2026-006 - Bio Caroço SEBRAE (15335-4)</t>
        </is>
      </c>
      <c r="E81" s="10" t="inlineStr">
        <is>
          <t>Tarifas Bancárias</t>
        </is>
      </c>
      <c r="F81" s="10" t="inlineStr">
        <is>
          <t>56231/2026</t>
        </is>
      </c>
      <c r="G81" s="10" t="inlineStr">
        <is>
          <t>debito</t>
        </is>
      </c>
      <c r="H81" s="10" t="inlineStr">
        <is>
          <t>Pagamento de Despesa Administrativa e Financeira</t>
        </is>
      </c>
      <c r="I81" s="11" t="inlineStr">
        <is>
          <t>Tarifa bancÃ¡ria do projeto 376 - IFAM 2026-006 - Bio Caroço SEBRAE (15335-4) importada do arquivo de extrato para conciliaÃ§Ã£o bancÃ¡ria.</t>
        </is>
      </c>
      <c r="J81" s="48" t="n">
        <v>-3.16</v>
      </c>
    </row>
    <row r="82" ht="45" customHeight="1">
      <c r="A82" s="9" t="n">
        <v>46311</v>
      </c>
      <c r="B82" s="9" t="n">
        <v>46311</v>
      </c>
      <c r="C82" s="47">
        <f>TEXT(B82,"mmmm")</f>
        <v/>
      </c>
      <c r="D82" s="14" t="inlineStr">
        <is>
          <t>376 - IFAM 2026-006 - Bio Caroço SEBRAE (15335-4)</t>
        </is>
      </c>
      <c r="E82" s="10" t="inlineStr">
        <is>
          <t>Tarifas Bancárias</t>
        </is>
      </c>
      <c r="F82" s="10" t="inlineStr">
        <is>
          <t>56227/2026</t>
        </is>
      </c>
      <c r="G82" s="10" t="inlineStr">
        <is>
          <t>debito</t>
        </is>
      </c>
      <c r="H82" s="10" t="inlineStr">
        <is>
          <t>Pagamento de Despesa Administrativa e Financeira</t>
        </is>
      </c>
      <c r="I82" s="11" t="inlineStr">
        <is>
          <t>Tarifa bancÃ¡ria do projeto 376 - IFAM 2026-006 - Bio Caroço SEBRAE (15335-4) importada do arquivo de extrato para conciliaÃ§Ã£o bancÃ¡ria.</t>
        </is>
      </c>
      <c r="J82" s="48" t="n">
        <v>-6.32</v>
      </c>
    </row>
    <row r="83" ht="45" customHeight="1">
      <c r="A83" s="9" t="n">
        <v>46203</v>
      </c>
      <c r="B83" s="9" t="n">
        <v>46203</v>
      </c>
      <c r="C83" s="47">
        <f>TEXT(B83,"mmmm")</f>
        <v/>
      </c>
      <c r="D83" s="14" t="inlineStr">
        <is>
          <t>377 - IFAM 2026-006 - Bio Caroço EMBRAPII (15338-9)</t>
        </is>
      </c>
      <c r="E83" s="10" t="inlineStr">
        <is>
          <t>Investimento</t>
        </is>
      </c>
      <c r="F83" s="10" t="inlineStr">
        <is>
          <t>30460/2026</t>
        </is>
      </c>
      <c r="G83" s="10" t="inlineStr">
        <is>
          <t>credito</t>
        </is>
      </c>
      <c r="H83" s="10" t="inlineStr">
        <is>
          <t>Aplicação Financeira</t>
        </is>
      </c>
      <c r="I83" s="11" t="inlineStr">
        <is>
          <t>Rendimento de aplicação financeira ref. a Junho de 2026.</t>
        </is>
      </c>
      <c r="J83" s="48" t="n">
        <v>334.52</v>
      </c>
    </row>
    <row r="84" ht="45" customHeight="1">
      <c r="A84" s="9" t="n">
        <v>46234</v>
      </c>
      <c r="B84" s="9" t="n">
        <v>46234</v>
      </c>
      <c r="C84" s="47">
        <f>TEXT(B84,"mmmm")</f>
        <v/>
      </c>
      <c r="D84" s="14" t="inlineStr">
        <is>
          <t>377 - IFAM 2026-006 - Bio Caroço EMBRAPII (15338-9)</t>
        </is>
      </c>
      <c r="E84" s="10" t="inlineStr">
        <is>
          <t>Investimento</t>
        </is>
      </c>
      <c r="F84" s="10" t="inlineStr">
        <is>
          <t>38384/2026</t>
        </is>
      </c>
      <c r="G84" s="10" t="inlineStr">
        <is>
          <t>credito</t>
        </is>
      </c>
      <c r="H84" s="10" t="inlineStr">
        <is>
          <t>Aplicação Financeira</t>
        </is>
      </c>
      <c r="I84" s="11" t="inlineStr">
        <is>
          <t>Rendimento de aplicação financeira ref. a Julho de 2026.</t>
        </is>
      </c>
      <c r="J84" s="48" t="n">
        <v>972.5</v>
      </c>
    </row>
    <row r="85" ht="30" customHeight="1">
      <c r="A85" s="9" t="n">
        <v>46234</v>
      </c>
      <c r="B85" s="9" t="n">
        <v>46234</v>
      </c>
      <c r="C85" s="49">
        <f>TEXT(B85,"mmmm")</f>
        <v/>
      </c>
      <c r="D85" s="14" t="inlineStr">
        <is>
          <t>377 - IFAM 2026-006 - Bio Caroço EMBRAPII (15338-9)</t>
        </is>
      </c>
      <c r="E85" s="10" t="inlineStr">
        <is>
          <t>Investimento</t>
        </is>
      </c>
      <c r="F85" s="10" t="inlineStr">
        <is>
          <t>38384/2026</t>
        </is>
      </c>
      <c r="G85" s="10" t="inlineStr">
        <is>
          <t>debito</t>
        </is>
      </c>
      <c r="H85" s="10" t="inlineStr">
        <is>
          <t>IRRF Pessoa Jurídica</t>
        </is>
      </c>
      <c r="I85" s="11" t="inlineStr">
        <is>
          <t>Rendimento de aplicação financeira ref. a Julho de 2026.</t>
        </is>
      </c>
      <c r="J85" s="48" t="n">
        <v>-0.01</v>
      </c>
    </row>
    <row r="86" ht="30" customHeight="1">
      <c r="A86" s="9" t="n">
        <v>46234</v>
      </c>
      <c r="B86" s="9" t="n">
        <v>46234</v>
      </c>
      <c r="C86" s="49">
        <f>TEXT(B86,"mmmm")</f>
        <v/>
      </c>
      <c r="D86" s="14" t="inlineStr">
        <is>
          <t>377 - IFAM 2026-006 - Bio Caroço EMBRAPII (15338-9)</t>
        </is>
      </c>
      <c r="E86" s="10" t="inlineStr">
        <is>
          <t>Investimento</t>
        </is>
      </c>
      <c r="F86" s="10" t="inlineStr">
        <is>
          <t>38384/2026</t>
        </is>
      </c>
      <c r="G86" s="10" t="inlineStr">
        <is>
          <t>debito</t>
        </is>
      </c>
      <c r="H86" s="10" t="inlineStr">
        <is>
          <t>IOF</t>
        </is>
      </c>
      <c r="I86" s="11" t="inlineStr">
        <is>
          <t>Rendimento de aplicação financeira ref. a Julho de 2026.</t>
        </is>
      </c>
      <c r="J86" s="50" t="n">
        <v>-0.07000000000000001</v>
      </c>
    </row>
    <row r="87" ht="30" customHeight="1">
      <c r="A87" s="9" t="n">
        <v>46265</v>
      </c>
      <c r="B87" s="9" t="n">
        <v>46265</v>
      </c>
      <c r="C87" s="49">
        <f>TEXT(B87,"mmmm")</f>
        <v/>
      </c>
      <c r="D87" s="14" t="inlineStr">
        <is>
          <t>377 - IFAM 2026-006 - Bio Caroço EMBRAPII (15338-9)</t>
        </is>
      </c>
      <c r="E87" s="10" t="inlineStr">
        <is>
          <t>Investimento</t>
        </is>
      </c>
      <c r="F87" s="10" t="inlineStr">
        <is>
          <t>45099/2026</t>
        </is>
      </c>
      <c r="G87" s="10" t="inlineStr">
        <is>
          <t>credito</t>
        </is>
      </c>
      <c r="H87" s="10" t="inlineStr">
        <is>
          <t>Aplicação Financeira</t>
        </is>
      </c>
      <c r="I87" s="11" t="inlineStr">
        <is>
          <t>Rendimento de aplicação financeira ref. a Agosto de 2026.</t>
        </is>
      </c>
      <c r="J87" s="50" t="n">
        <v>859.45</v>
      </c>
    </row>
    <row r="88" ht="30" customHeight="1">
      <c r="A88" s="9" t="n">
        <v>46265</v>
      </c>
      <c r="B88" s="9" t="n">
        <v>46265</v>
      </c>
      <c r="C88" s="49">
        <f>TEXT(B88,"mmmm")</f>
        <v/>
      </c>
      <c r="D88" s="14" t="inlineStr">
        <is>
          <t>377 - IFAM 2026-006 - Bio Caroço EMBRAPII (15338-9)</t>
        </is>
      </c>
      <c r="E88" s="10" t="inlineStr">
        <is>
          <t>Investimento</t>
        </is>
      </c>
      <c r="F88" s="10" t="inlineStr">
        <is>
          <t>45099/2026</t>
        </is>
      </c>
      <c r="G88" s="10" t="inlineStr">
        <is>
          <t>debito</t>
        </is>
      </c>
      <c r="H88" s="10" t="inlineStr">
        <is>
          <t>IRRF Pessoa Jurídica</t>
        </is>
      </c>
      <c r="I88" s="11" t="inlineStr">
        <is>
          <t>IRRF Retenção Pessoa Jurídica: Rendimento de aplicação financeira ref. a Agosto de 2026.</t>
        </is>
      </c>
      <c r="J88" s="50" t="n">
        <v>-14.42</v>
      </c>
    </row>
    <row r="89" ht="30" customHeight="1">
      <c r="A89" s="9" t="n">
        <v>46295</v>
      </c>
      <c r="B89" s="9" t="n">
        <v>46295</v>
      </c>
      <c r="C89" s="49">
        <f>TEXT(B89,"mmmm")</f>
        <v/>
      </c>
      <c r="D89" s="14" t="inlineStr">
        <is>
          <t>377 - IFAM 2026-006 - Bio Caroço EMBRAPII (15338-9)</t>
        </is>
      </c>
      <c r="E89" s="10" t="inlineStr">
        <is>
          <t>Investimento</t>
        </is>
      </c>
      <c r="F89" s="10" t="inlineStr">
        <is>
          <t>53097/2026</t>
        </is>
      </c>
      <c r="G89" s="10" t="inlineStr">
        <is>
          <t>credito</t>
        </is>
      </c>
      <c r="H89" s="10" t="inlineStr">
        <is>
          <t>Aplicação Financeira</t>
        </is>
      </c>
      <c r="I89" s="11" t="inlineStr">
        <is>
          <t>Rendimento de aplicação financeira ref. a Setembro de 2026.</t>
        </is>
      </c>
      <c r="J89" s="50" t="n">
        <v>784.16</v>
      </c>
    </row>
    <row r="90" ht="30" customHeight="1">
      <c r="A90" s="9" t="n">
        <v>46295</v>
      </c>
      <c r="B90" s="9" t="n">
        <v>46295</v>
      </c>
      <c r="C90" s="49">
        <f>TEXT(B90,"mmmm")</f>
        <v/>
      </c>
      <c r="D90" s="14" t="inlineStr">
        <is>
          <t>377 - IFAM 2026-006 - Bio Caroço EMBRAPII (15338-9)</t>
        </is>
      </c>
      <c r="E90" s="10" t="inlineStr">
        <is>
          <t>Investimento</t>
        </is>
      </c>
      <c r="F90" s="10" t="inlineStr">
        <is>
          <t>53097/2026</t>
        </is>
      </c>
      <c r="G90" s="10" t="inlineStr">
        <is>
          <t>debito</t>
        </is>
      </c>
      <c r="H90" s="10" t="inlineStr">
        <is>
          <t>IRRF Pessoa Jurídica</t>
        </is>
      </c>
      <c r="I90" s="11" t="inlineStr">
        <is>
          <t>IRRF Retenção Pessoa Jurídica: Rendimento de aplicação financeira ref. a Setembro de 2026.</t>
        </is>
      </c>
      <c r="J90" s="50" t="n">
        <v>-32.07</v>
      </c>
    </row>
    <row r="91" ht="30" customHeight="1">
      <c r="A91" s="9" t="n">
        <v>46315</v>
      </c>
      <c r="B91" s="9" t="n">
        <v>46315</v>
      </c>
      <c r="C91" s="49">
        <f>TEXT(B91,"mmmm")</f>
        <v/>
      </c>
      <c r="D91" s="14" t="inlineStr">
        <is>
          <t>377 - IFAM 2026-006 - Bio Caroço EMBRAPII (15338-9)</t>
        </is>
      </c>
      <c r="E91" s="10" t="inlineStr">
        <is>
          <t>Investimento</t>
        </is>
      </c>
      <c r="F91" s="10" t="inlineStr">
        <is>
          <t>56233/2026</t>
        </is>
      </c>
      <c r="G91" s="10" t="inlineStr">
        <is>
          <t>credito</t>
        </is>
      </c>
      <c r="H91" s="10" t="inlineStr">
        <is>
          <t>Aplicação Financeira</t>
        </is>
      </c>
      <c r="I91" s="11" t="inlineStr">
        <is>
          <t>Rendimento de aplicação financeira ref. a Out. 2026</t>
        </is>
      </c>
      <c r="J91" s="50" t="n">
        <v>419.44</v>
      </c>
    </row>
    <row r="92" ht="30" customHeight="1">
      <c r="A92" s="9" t="n">
        <v>46315</v>
      </c>
      <c r="B92" s="9" t="n">
        <v>46315</v>
      </c>
      <c r="C92" s="49">
        <f>TEXT(B92,"mmmm")</f>
        <v/>
      </c>
      <c r="D92" s="14" t="inlineStr">
        <is>
          <t>377 - IFAM 2026-006 - Bio Caroço EMBRAPII (15338-9)</t>
        </is>
      </c>
      <c r="E92" s="10" t="inlineStr">
        <is>
          <t>Investimento</t>
        </is>
      </c>
      <c r="F92" s="10" t="inlineStr">
        <is>
          <t>56233/2026</t>
        </is>
      </c>
      <c r="G92" s="10" t="inlineStr">
        <is>
          <t>debito</t>
        </is>
      </c>
      <c r="H92" s="10" t="inlineStr">
        <is>
          <t>IRRF Pessoa Jurídica</t>
        </is>
      </c>
      <c r="I92" s="11" t="inlineStr">
        <is>
          <t>Rendimento de aplicação financeira ref. a Out. 2026</t>
        </is>
      </c>
      <c r="J92" s="50" t="n">
        <v>-303.97</v>
      </c>
    </row>
    <row r="93" ht="30" customHeight="1">
      <c r="A93" s="9" t="n">
        <v>46189</v>
      </c>
      <c r="B93" s="9" t="n">
        <v>46190</v>
      </c>
      <c r="C93" s="49">
        <f>TEXT(B93,"mmmm")</f>
        <v/>
      </c>
      <c r="D93" s="14" t="inlineStr">
        <is>
          <t>377 - IFAM 2026-006 - Bio Caroço EMBRAPII (15338-9)</t>
        </is>
      </c>
      <c r="E93" s="10" t="inlineStr">
        <is>
          <t>Receita</t>
        </is>
      </c>
      <c r="F93" s="10" t="inlineStr">
        <is>
          <t>25579/2026</t>
        </is>
      </c>
      <c r="G93" s="10" t="inlineStr">
        <is>
          <t>credito</t>
        </is>
      </c>
      <c r="H93" s="10" t="inlineStr">
        <is>
          <t>Transferência entre Projetos</t>
        </is>
      </c>
      <c r="I93" s="11" t="inlineStr">
        <is>
          <t>Transferência do projeto "147 - IFAM 2022-023 - EMBRAPII (12026-X)" para "377 - IFAM 2026-006 - Bio Caroço EMBRAPII (15338-9)", referente a Transferência de valores das contas EMBRAPII para a conta do respectivo projeto.</t>
        </is>
      </c>
      <c r="J93" s="50" t="n">
        <v>103000</v>
      </c>
    </row>
    <row r="94" ht="30" customHeight="1">
      <c r="A94" s="9" t="n">
        <v>46311</v>
      </c>
      <c r="B94" s="9" t="n">
        <v>46314</v>
      </c>
      <c r="C94" s="49">
        <f>TEXT(B94,"mmmm")</f>
        <v/>
      </c>
      <c r="D94" s="14" t="inlineStr">
        <is>
          <t>377 - IFAM 2026-006 - Bio Caroço EMBRAPII (15338-9)</t>
        </is>
      </c>
      <c r="E94" s="10" t="inlineStr">
        <is>
          <t>Receita</t>
        </is>
      </c>
      <c r="F94" s="10" t="inlineStr">
        <is>
          <t>55093/2026</t>
        </is>
      </c>
      <c r="G94" s="10" t="inlineStr">
        <is>
          <t>credito</t>
        </is>
      </c>
      <c r="H94" s="10" t="inlineStr">
        <is>
          <t>Transferência entre Projetos</t>
        </is>
      </c>
      <c r="I94" s="11" t="inlineStr">
        <is>
          <t>Transferência do projeto "147 - IFAM 2022-023 - EMBRAPII (12026-X)" para "377 - IFAM 2026-006 - Bio Caroço EMBRAPII (15338-9)", referente a Transferência de valores das contas EMBRAPII para a conta do respectivo projeto.</t>
        </is>
      </c>
      <c r="J94" s="50" t="n">
        <v>45000</v>
      </c>
    </row>
    <row r="95" ht="30" customHeight="1">
      <c r="A95" s="9" t="n">
        <v>46239</v>
      </c>
      <c r="B95" s="9" t="n">
        <v>46240</v>
      </c>
      <c r="C95" s="49">
        <f>TEXT(B95,"mmmm")</f>
        <v/>
      </c>
      <c r="D95" s="14" t="inlineStr">
        <is>
          <t>377 - IFAM 2026-006 - Bio Caroço EMBRAPII (15338-9)</t>
        </is>
      </c>
      <c r="E95" s="10" t="inlineStr">
        <is>
          <t>Recursos Humanos - Bolsa</t>
        </is>
      </c>
      <c r="F95" s="10" t="inlineStr">
        <is>
          <t>38613/2026</t>
        </is>
      </c>
      <c r="G95" s="10" t="inlineStr">
        <is>
          <t>debito</t>
        </is>
      </c>
      <c r="H95" s="10" t="inlineStr">
        <is>
          <t>Pagamento de Bolsa Pesquisa</t>
        </is>
      </c>
      <c r="I95" s="11" t="inlineStr">
        <is>
          <t>Pagamento bolsa para Gabriel Nogueira de Lima, 00686343239, referente à parcela 02/09.</t>
        </is>
      </c>
      <c r="J95" s="50" t="n">
        <v>-2000</v>
      </c>
    </row>
    <row r="96" ht="30" customHeight="1">
      <c r="A96" s="9" t="n">
        <v>46251</v>
      </c>
      <c r="B96" s="9" t="n">
        <v>46252</v>
      </c>
      <c r="C96" s="49">
        <f>TEXT(B96,"mmmm")</f>
        <v/>
      </c>
      <c r="D96" s="14" t="inlineStr">
        <is>
          <t>377 - IFAM 2026-006 - Bio Caroço EMBRAPII (15338-9)</t>
        </is>
      </c>
      <c r="E96" s="10" t="inlineStr">
        <is>
          <t>Recursos Humanos - Bolsa</t>
        </is>
      </c>
      <c r="F96" s="10" t="inlineStr">
        <is>
          <t>40217/2026</t>
        </is>
      </c>
      <c r="G96" s="10" t="inlineStr">
        <is>
          <t>debito</t>
        </is>
      </c>
      <c r="H96" s="10" t="inlineStr">
        <is>
          <t>Pagamento de Bolsa Pesquisa</t>
        </is>
      </c>
      <c r="I96" s="11" t="inlineStr">
        <is>
          <t>Pagamento bolsa para Cairo José Nascimento Carneiro, 70513691219, referente à parcela 01/08.</t>
        </is>
      </c>
      <c r="J96" s="50" t="n">
        <v>-2125</v>
      </c>
    </row>
    <row r="97" ht="30" customHeight="1">
      <c r="A97" s="9" t="n">
        <v>46273</v>
      </c>
      <c r="B97" s="9" t="n">
        <v>46274</v>
      </c>
      <c r="C97" s="49">
        <f>TEXT(B97,"mmmm")</f>
        <v/>
      </c>
      <c r="D97" s="14" t="inlineStr">
        <is>
          <t>377 - IFAM 2026-006 - Bio Caroço EMBRAPII (15338-9)</t>
        </is>
      </c>
      <c r="E97" s="10" t="inlineStr">
        <is>
          <t>Recursos Humanos - Bolsa</t>
        </is>
      </c>
      <c r="F97" s="10" t="inlineStr">
        <is>
          <t>45726/2026</t>
        </is>
      </c>
      <c r="G97" s="10" t="inlineStr">
        <is>
          <t>debito</t>
        </is>
      </c>
      <c r="H97" s="10" t="inlineStr">
        <is>
          <t>Pagamento de Bolsa Pesquisa</t>
        </is>
      </c>
      <c r="I97" s="11" t="inlineStr">
        <is>
          <t>Pagamento bolsa para Jose Mario Castro de Amaral, 07015698242, referente à parcela 03/09.</t>
        </is>
      </c>
      <c r="J97" s="50" t="n">
        <v>-2000</v>
      </c>
    </row>
    <row r="98" ht="30" customHeight="1">
      <c r="A98" s="9" t="n">
        <v>46273</v>
      </c>
      <c r="B98" s="9" t="n">
        <v>46274</v>
      </c>
      <c r="C98" s="49">
        <f>TEXT(B98,"mmmm")</f>
        <v/>
      </c>
      <c r="D98" s="14" t="inlineStr">
        <is>
          <t>377 - IFAM 2026-006 - Bio Caroço EMBRAPII (15338-9)</t>
        </is>
      </c>
      <c r="E98" s="10" t="inlineStr">
        <is>
          <t>Recursos Humanos - Bolsa</t>
        </is>
      </c>
      <c r="F98" s="10" t="inlineStr">
        <is>
          <t>45727/2026</t>
        </is>
      </c>
      <c r="G98" s="10" t="inlineStr">
        <is>
          <t>debito</t>
        </is>
      </c>
      <c r="H98" s="10" t="inlineStr">
        <is>
          <t>Pagamento de Bolsa Pesquisa</t>
        </is>
      </c>
      <c r="I98" s="11" t="inlineStr">
        <is>
          <t>Pagamento bolsa para Gabriel Nogueira de Lima, 00686343239, referente à parcela 03/09.</t>
        </is>
      </c>
      <c r="J98" s="50" t="n">
        <v>-2000</v>
      </c>
    </row>
    <row r="99" ht="30" customHeight="1">
      <c r="A99" s="9" t="n">
        <v>46274</v>
      </c>
      <c r="B99" s="9" t="n">
        <v>46276</v>
      </c>
      <c r="C99" s="49">
        <f>TEXT(B99,"mmmm")</f>
        <v/>
      </c>
      <c r="D99" s="14" t="inlineStr">
        <is>
          <t>377 - IFAM 2026-006 - Bio Caroço EMBRAPII (15338-9)</t>
        </is>
      </c>
      <c r="E99" s="10" t="inlineStr">
        <is>
          <t>Recursos Humanos - Bolsa</t>
        </is>
      </c>
      <c r="F99" s="10" t="inlineStr">
        <is>
          <t>45942/2026</t>
        </is>
      </c>
      <c r="G99" s="10" t="inlineStr">
        <is>
          <t>debito</t>
        </is>
      </c>
      <c r="H99" s="10" t="inlineStr">
        <is>
          <t>Pagamento de Bolsa Pesquisa</t>
        </is>
      </c>
      <c r="I99" s="11" t="inlineStr">
        <is>
          <t>Pagamento bolsa para Cairo José Nascimento Carneiro, 70513691219, referente à parcela 02/08.</t>
        </is>
      </c>
      <c r="J99" s="50" t="n">
        <v>-2125</v>
      </c>
    </row>
    <row r="100" ht="30" customHeight="1">
      <c r="A100" s="9" t="n">
        <v>46304</v>
      </c>
      <c r="B100" s="9" t="n">
        <v>46308</v>
      </c>
      <c r="C100" s="49">
        <f>TEXT(B100,"mmmm")</f>
        <v/>
      </c>
      <c r="D100" s="14" t="inlineStr">
        <is>
          <t>377 - IFAM 2026-006 - Bio Caroço EMBRAPII (15338-9)</t>
        </is>
      </c>
      <c r="E100" s="10" t="inlineStr">
        <is>
          <t>Recursos Humanos - Bolsa</t>
        </is>
      </c>
      <c r="F100" s="10" t="inlineStr">
        <is>
          <t>53328/2026</t>
        </is>
      </c>
      <c r="G100" s="10" t="inlineStr">
        <is>
          <t>debito</t>
        </is>
      </c>
      <c r="H100" s="10" t="inlineStr">
        <is>
          <t>Pagamento de Bolsa Pesquisa</t>
        </is>
      </c>
      <c r="I100" s="11" t="inlineStr">
        <is>
          <t>Pagamento bolsa para Wenndisson da Silva Souza, 00390179230, referente à parcela 04/09.</t>
        </is>
      </c>
      <c r="J100" s="50" t="n">
        <v>-12000</v>
      </c>
    </row>
    <row r="101" ht="30" customHeight="1">
      <c r="A101" s="9" t="n">
        <v>46304</v>
      </c>
      <c r="B101" s="9" t="n">
        <v>46308</v>
      </c>
      <c r="C101" s="49">
        <f>TEXT(B101,"mmmm")</f>
        <v/>
      </c>
      <c r="D101" s="14" t="inlineStr">
        <is>
          <t>377 - IFAM 2026-006 - Bio Caroço EMBRAPII (15338-9)</t>
        </is>
      </c>
      <c r="E101" s="10" t="inlineStr">
        <is>
          <t>Recursos Humanos - Bolsa</t>
        </is>
      </c>
      <c r="F101" s="10" t="inlineStr">
        <is>
          <t>53342/2026</t>
        </is>
      </c>
      <c r="G101" s="10" t="inlineStr">
        <is>
          <t>debito</t>
        </is>
      </c>
      <c r="H101" s="10" t="inlineStr">
        <is>
          <t>Pagamento de Bolsa Pesquisa</t>
        </is>
      </c>
      <c r="I101" s="11" t="inlineStr">
        <is>
          <t>Pagamento bolsa para Gabriel Silveira Alencar, 00548625239, referente à parcela 04/09.</t>
        </is>
      </c>
      <c r="J101" s="50" t="n">
        <v>-5000</v>
      </c>
    </row>
    <row r="102" ht="30" customHeight="1">
      <c r="A102" s="9" t="n">
        <v>46308</v>
      </c>
      <c r="B102" s="9" t="n">
        <v>46309</v>
      </c>
      <c r="C102" s="49">
        <f>TEXT(B102,"mmmm")</f>
        <v/>
      </c>
      <c r="D102" s="14" t="inlineStr">
        <is>
          <t>377 - IFAM 2026-006 - Bio Caroço EMBRAPII (15338-9)</t>
        </is>
      </c>
      <c r="E102" s="10" t="inlineStr">
        <is>
          <t>Recursos Humanos - Bolsa</t>
        </is>
      </c>
      <c r="F102" s="10" t="inlineStr">
        <is>
          <t>53407/2026</t>
        </is>
      </c>
      <c r="G102" s="10" t="inlineStr">
        <is>
          <t>debito</t>
        </is>
      </c>
      <c r="H102" s="10" t="inlineStr">
        <is>
          <t>Pagamento de Bolsa Pesquisa</t>
        </is>
      </c>
      <c r="I102" s="11" t="inlineStr">
        <is>
          <t>Pagamento bolsa para NOBUYUKI ANDRADE ASHIBE, 00209299274, referente à parcela 04/09.</t>
        </is>
      </c>
      <c r="J102" s="50" t="n">
        <v>-2000</v>
      </c>
    </row>
    <row r="103" ht="30" customHeight="1">
      <c r="A103" s="9" t="n">
        <v>46308</v>
      </c>
      <c r="B103" s="9" t="n">
        <v>46309</v>
      </c>
      <c r="C103" s="49">
        <f>TEXT(B103,"mmmm")</f>
        <v/>
      </c>
      <c r="D103" s="14" t="inlineStr">
        <is>
          <t>377 - IFAM 2026-006 - Bio Caroço EMBRAPII (15338-9)</t>
        </is>
      </c>
      <c r="E103" s="10" t="inlineStr">
        <is>
          <t>Recursos Humanos - Bolsa</t>
        </is>
      </c>
      <c r="F103" s="10" t="inlineStr">
        <is>
          <t>53409/2026</t>
        </is>
      </c>
      <c r="G103" s="10" t="inlineStr">
        <is>
          <t>debito</t>
        </is>
      </c>
      <c r="H103" s="10" t="inlineStr">
        <is>
          <t>Pagamento de Bolsa Pesquisa</t>
        </is>
      </c>
      <c r="I103" s="11" t="inlineStr">
        <is>
          <t>Pagamento bolsa para Jose Mario Castro de Amaral, 07015698242, referente à parcela 04/09.</t>
        </is>
      </c>
      <c r="J103" s="50" t="n">
        <v>-2000</v>
      </c>
    </row>
    <row r="104" ht="30" customHeight="1">
      <c r="A104" s="9" t="n">
        <v>46308</v>
      </c>
      <c r="B104" s="9" t="n">
        <v>46309</v>
      </c>
      <c r="C104" s="49">
        <f>TEXT(B104,"mmmm")</f>
        <v/>
      </c>
      <c r="D104" s="14" t="inlineStr">
        <is>
          <t>377 - IFAM 2026-006 - Bio Caroço EMBRAPII (15338-9)</t>
        </is>
      </c>
      <c r="E104" s="10" t="inlineStr">
        <is>
          <t>Recursos Humanos - Bolsa</t>
        </is>
      </c>
      <c r="F104" s="10" t="inlineStr">
        <is>
          <t>53410/2026</t>
        </is>
      </c>
      <c r="G104" s="10" t="inlineStr">
        <is>
          <t>debito</t>
        </is>
      </c>
      <c r="H104" s="10" t="inlineStr">
        <is>
          <t>Pagamento de Bolsa Pesquisa</t>
        </is>
      </c>
      <c r="I104" s="11" t="inlineStr">
        <is>
          <t>Pagamento bolsa para Gabriel Nogueira de Lima, 00686343239, referente à parcela 04/09.</t>
        </is>
      </c>
      <c r="J104" s="50" t="n">
        <v>-2000</v>
      </c>
    </row>
    <row r="105" ht="30" customHeight="1">
      <c r="A105" s="9" t="n">
        <v>46308</v>
      </c>
      <c r="B105" s="9" t="n">
        <v>46309</v>
      </c>
      <c r="C105" s="49">
        <f>TEXT(B105,"mmmm")</f>
        <v/>
      </c>
      <c r="D105" s="14" t="inlineStr">
        <is>
          <t>377 - IFAM 2026-006 - Bio Caroço EMBRAPII (15338-9)</t>
        </is>
      </c>
      <c r="E105" s="10" t="inlineStr">
        <is>
          <t>Recursos Humanos - Bolsa</t>
        </is>
      </c>
      <c r="F105" s="10" t="inlineStr">
        <is>
          <t>53411/2026</t>
        </is>
      </c>
      <c r="G105" s="10" t="inlineStr">
        <is>
          <t>debito</t>
        </is>
      </c>
      <c r="H105" s="10" t="inlineStr">
        <is>
          <t>Pagamento de Bolsa Pesquisa</t>
        </is>
      </c>
      <c r="I105" s="11" t="inlineStr">
        <is>
          <t>Pagamento bolsa para Liane de Oliveira Calais Sobreira, 66831555268, referente à parcela 04/09.</t>
        </is>
      </c>
      <c r="J105" s="50" t="n">
        <v>-5000</v>
      </c>
    </row>
    <row r="106" ht="30" customHeight="1">
      <c r="A106" s="9" t="n">
        <v>46308</v>
      </c>
      <c r="B106" s="9" t="n">
        <v>46309</v>
      </c>
      <c r="C106" s="49">
        <f>TEXT(B106,"mmmm")</f>
        <v/>
      </c>
      <c r="D106" s="14" t="inlineStr">
        <is>
          <t>377 - IFAM 2026-006 - Bio Caroço EMBRAPII (15338-9)</t>
        </is>
      </c>
      <c r="E106" s="10" t="inlineStr">
        <is>
          <t>Recursos Humanos - Bolsa</t>
        </is>
      </c>
      <c r="F106" s="10" t="inlineStr">
        <is>
          <t>53412/2026</t>
        </is>
      </c>
      <c r="G106" s="10" t="inlineStr">
        <is>
          <t>debito</t>
        </is>
      </c>
      <c r="H106" s="10" t="inlineStr">
        <is>
          <t>Pagamento de Bolsa Pesquisa</t>
        </is>
      </c>
      <c r="I106" s="11" t="inlineStr">
        <is>
          <t>Pagamento bolsa para Gabriel Clávila Soares, 52868826253, referente à parcela 04/09.</t>
        </is>
      </c>
      <c r="J106" s="50" t="n">
        <v>-5000</v>
      </c>
    </row>
    <row r="107" ht="30" customHeight="1">
      <c r="A107" s="9" t="n">
        <v>46310</v>
      </c>
      <c r="B107" s="9" t="n">
        <v>46311</v>
      </c>
      <c r="C107" s="49">
        <f>TEXT(B107,"mmmm")</f>
        <v/>
      </c>
      <c r="D107" s="14" t="inlineStr">
        <is>
          <t>377 - IFAM 2026-006 - Bio Caroço EMBRAPII (15338-9)</t>
        </is>
      </c>
      <c r="E107" s="10" t="inlineStr">
        <is>
          <t>Recursos Humanos - Bolsa</t>
        </is>
      </c>
      <c r="F107" s="10" t="inlineStr">
        <is>
          <t>54371/2026</t>
        </is>
      </c>
      <c r="G107" s="10" t="inlineStr">
        <is>
          <t>debito</t>
        </is>
      </c>
      <c r="H107" s="10" t="inlineStr">
        <is>
          <t>Pagamento de Bolsa Pesquisa</t>
        </is>
      </c>
      <c r="I107" s="11" t="inlineStr">
        <is>
          <t>Pagamento bolsa para Cairo José Nascimento Carneiro, 70513691219, referente à parcela 03/08.</t>
        </is>
      </c>
      <c r="J107" s="50" t="n">
        <v>-2125</v>
      </c>
    </row>
    <row r="108" ht="30" customHeight="1">
      <c r="A108" s="9" t="n">
        <v>46311</v>
      </c>
      <c r="B108" s="9" t="n">
        <v>46314</v>
      </c>
      <c r="C108" s="49">
        <f>TEXT(B108,"mmmm")</f>
        <v/>
      </c>
      <c r="D108" s="14" t="inlineStr">
        <is>
          <t>377 - IFAM 2026-006 - Bio Caroço EMBRAPII (15338-9)</t>
        </is>
      </c>
      <c r="E108" s="10" t="inlineStr">
        <is>
          <t>Recursos Humanos - Bolsa</t>
        </is>
      </c>
      <c r="F108" s="10" t="inlineStr">
        <is>
          <t>54957/2026</t>
        </is>
      </c>
      <c r="G108" s="10" t="inlineStr">
        <is>
          <t>debito</t>
        </is>
      </c>
      <c r="H108" s="10" t="inlineStr">
        <is>
          <t>Pagamento de Bolsa Pesquisa</t>
        </is>
      </c>
      <c r="I108" s="11" t="inlineStr">
        <is>
          <t>Pagamento bolsa para EDUARDO PALHARES JUNIOR, 36861809870, referente à parcela 04/09.</t>
        </is>
      </c>
      <c r="J108" s="50" t="n">
        <v>-7000</v>
      </c>
    </row>
    <row r="109" ht="30" customHeight="1">
      <c r="A109" s="9" t="n">
        <v>46205</v>
      </c>
      <c r="B109" s="9" t="n">
        <v>46205</v>
      </c>
      <c r="C109" s="49">
        <f>TEXT(B109,"mmmm")</f>
        <v/>
      </c>
      <c r="D109" s="14" t="inlineStr">
        <is>
          <t>377 - IFAM 2026-006 - Bio Caroço EMBRAPII (15338-9)</t>
        </is>
      </c>
      <c r="E109" s="10" t="inlineStr">
        <is>
          <t>Tarifas Bancárias</t>
        </is>
      </c>
      <c r="F109" s="10" t="inlineStr">
        <is>
          <t>38390/2026</t>
        </is>
      </c>
      <c r="G109" s="10" t="inlineStr">
        <is>
          <t>debito</t>
        </is>
      </c>
      <c r="H109" s="10" t="inlineStr">
        <is>
          <t>Pagamento de Despesa Administrativa e Financeira</t>
        </is>
      </c>
      <c r="I109" s="11" t="inlineStr">
        <is>
          <t>Pagamento de serviços bancários</t>
        </is>
      </c>
      <c r="J109" s="50" t="n">
        <v>-34.5</v>
      </c>
    </row>
    <row r="110" ht="30" customHeight="1">
      <c r="A110" s="9" t="n">
        <v>46238</v>
      </c>
      <c r="B110" s="9" t="n">
        <v>46238</v>
      </c>
      <c r="C110" s="49">
        <f>TEXT(B110,"mmmm")</f>
        <v/>
      </c>
      <c r="D110" s="14" t="inlineStr">
        <is>
          <t>377 - IFAM 2026-006 - Bio Caroço EMBRAPII (15338-9)</t>
        </is>
      </c>
      <c r="E110" s="10" t="inlineStr">
        <is>
          <t>Tarifas Bancárias</t>
        </is>
      </c>
      <c r="F110" s="10" t="inlineStr">
        <is>
          <t>39731/2026</t>
        </is>
      </c>
      <c r="G110" s="10" t="inlineStr">
        <is>
          <t>debito</t>
        </is>
      </c>
      <c r="H110" s="10" t="inlineStr">
        <is>
          <t>Pagamento de Despesa Administrativa e Financeira</t>
        </is>
      </c>
      <c r="I110" s="11" t="inlineStr">
        <is>
          <t>Tarifa bancária do projeto 377 - IFAM 2026-006 - Bio Caroço EMBRAPII (15338-9) importada do arquivo de extrato para conciliação bancária.</t>
        </is>
      </c>
      <c r="J110" s="50" t="n">
        <v>-34.5</v>
      </c>
    </row>
    <row r="111" ht="30" customHeight="1">
      <c r="A111" s="9" t="n">
        <v>46240</v>
      </c>
      <c r="B111" s="9" t="n">
        <v>46240</v>
      </c>
      <c r="C111" s="49">
        <f>TEXT(B111,"mmmm")</f>
        <v/>
      </c>
      <c r="D111" s="14" t="inlineStr">
        <is>
          <t>377 - IFAM 2026-006 - Bio Caroço EMBRAPII (15338-9)</t>
        </is>
      </c>
      <c r="E111" s="10" t="inlineStr">
        <is>
          <t>Tarifas Bancárias</t>
        </is>
      </c>
      <c r="F111" s="10" t="inlineStr">
        <is>
          <t>39733/2026</t>
        </is>
      </c>
      <c r="G111" s="10" t="inlineStr">
        <is>
          <t>debito</t>
        </is>
      </c>
      <c r="H111" s="10" t="inlineStr">
        <is>
          <t>Pagamento de Despesa Administrativa e Financeira</t>
        </is>
      </c>
      <c r="I111" s="11" t="inlineStr">
        <is>
          <t>Tarifa bancária do projeto 377 - IFAM 2026-006 - Bio Caroço EMBRAPII (15338-9) importada do arquivo de extrato para conciliação bancária.</t>
        </is>
      </c>
      <c r="J111" s="50" t="n">
        <v>-3.16</v>
      </c>
    </row>
    <row r="112" ht="30" customHeight="1">
      <c r="A112" s="9" t="n">
        <v>46252</v>
      </c>
      <c r="B112" s="9" t="n">
        <v>46252</v>
      </c>
      <c r="C112" s="49">
        <f>TEXT(B112,"mmmm")</f>
        <v/>
      </c>
      <c r="D112" s="14" t="inlineStr">
        <is>
          <t>377 - IFAM 2026-006 - Bio Caroço EMBRAPII (15338-9)</t>
        </is>
      </c>
      <c r="E112" s="10" t="inlineStr">
        <is>
          <t>Tarifas Bancárias</t>
        </is>
      </c>
      <c r="F112" s="10" t="inlineStr">
        <is>
          <t>45098/2026</t>
        </is>
      </c>
      <c r="G112" s="10" t="inlineStr">
        <is>
          <t>debito</t>
        </is>
      </c>
      <c r="H112" s="10" t="inlineStr">
        <is>
          <t>Pagamento de Despesa Administrativa e Financeira</t>
        </is>
      </c>
      <c r="I112" s="11" t="inlineStr">
        <is>
          <t>Tarifa bancária do projeto 377 - IFAM 2026-006 - Bio Caroço EMBRAPII (15338-9) importada do arquivo de extrato para conciliação bancária.</t>
        </is>
      </c>
      <c r="J112" s="50" t="n">
        <v>-3.16</v>
      </c>
    </row>
    <row r="113" ht="30" customHeight="1">
      <c r="A113" s="9" t="n">
        <v>46267</v>
      </c>
      <c r="B113" s="9" t="n">
        <v>46267</v>
      </c>
      <c r="C113" s="49">
        <f>TEXT(B113,"mmmm")</f>
        <v/>
      </c>
      <c r="D113" s="14" t="inlineStr">
        <is>
          <t>377 - IFAM 2026-006 - Bio Caroço EMBRAPII (15338-9)</t>
        </is>
      </c>
      <c r="E113" s="10" t="inlineStr">
        <is>
          <t>Tarifas Bancárias</t>
        </is>
      </c>
      <c r="F113" s="10" t="inlineStr">
        <is>
          <t>47802/2026</t>
        </is>
      </c>
      <c r="G113" s="10" t="inlineStr">
        <is>
          <t>debito</t>
        </is>
      </c>
      <c r="H113" s="10" t="inlineStr">
        <is>
          <t>Pagamento de Despesa Administrativa e Financeira</t>
        </is>
      </c>
      <c r="I113" s="11" t="inlineStr">
        <is>
          <t>Tarifa bancária do projeto 377 - IFAM 2026-006 - Bio Caroço EMBRAPII (15338-9) importada do arquivo de extrato para conciliação bancária.</t>
        </is>
      </c>
      <c r="J113" s="50" t="n">
        <v>-34.5</v>
      </c>
    </row>
    <row r="114" ht="30" customHeight="1">
      <c r="A114" s="9" t="n">
        <v>46274</v>
      </c>
      <c r="B114" s="9" t="n">
        <v>46274</v>
      </c>
      <c r="C114" s="49">
        <f>TEXT(B114,"mmmm")</f>
        <v/>
      </c>
      <c r="D114" s="14" t="inlineStr">
        <is>
          <t>377 - IFAM 2026-006 - Bio Caroço EMBRAPII (15338-9)</t>
        </is>
      </c>
      <c r="E114" s="10" t="inlineStr">
        <is>
          <t>Tarifas Bancárias</t>
        </is>
      </c>
      <c r="F114" s="10" t="inlineStr">
        <is>
          <t>47806/2026</t>
        </is>
      </c>
      <c r="G114" s="10" t="inlineStr">
        <is>
          <t>debito</t>
        </is>
      </c>
      <c r="H114" s="10" t="inlineStr">
        <is>
          <t>Pagamento de Despesa Administrativa e Financeira</t>
        </is>
      </c>
      <c r="I114" s="11" t="inlineStr">
        <is>
          <t>Tarifa bancária do projeto 377 - IFAM 2026-006 - Bio Caroço EMBRAPII (15338-9) importada do arquivo de extrato para conciliação bancária.</t>
        </is>
      </c>
      <c r="J114" s="50" t="n">
        <v>-6.32</v>
      </c>
    </row>
    <row r="115" ht="30" customHeight="1">
      <c r="A115" s="9" t="n">
        <v>46276</v>
      </c>
      <c r="B115" s="9" t="n">
        <v>46276</v>
      </c>
      <c r="C115" s="49">
        <f>TEXT(B115,"mmmm")</f>
        <v/>
      </c>
      <c r="D115" s="14" t="inlineStr">
        <is>
          <t>377 - IFAM 2026-006 - Bio Caroço EMBRAPII (15338-9)</t>
        </is>
      </c>
      <c r="E115" s="10" t="inlineStr">
        <is>
          <t>Tarifas Bancárias</t>
        </is>
      </c>
      <c r="F115" s="10" t="inlineStr">
        <is>
          <t>47804/2026</t>
        </is>
      </c>
      <c r="G115" s="10" t="inlineStr">
        <is>
          <t>debito</t>
        </is>
      </c>
      <c r="H115" s="10" t="inlineStr">
        <is>
          <t>Pagamento de Despesa Administrativa e Financeira</t>
        </is>
      </c>
      <c r="I115" s="11" t="inlineStr">
        <is>
          <t>Tarifa bancária do projeto 377 - IFAM 2026-006 - Bio Caroço EMBRAPII (15338-9) importada do arquivo de extrato para conciliação bancária.</t>
        </is>
      </c>
      <c r="J115" s="50" t="n">
        <v>-3.16</v>
      </c>
    </row>
    <row r="116" ht="30" customHeight="1">
      <c r="A116" s="9" t="n">
        <v>46297</v>
      </c>
      <c r="B116" s="9" t="n">
        <v>46297</v>
      </c>
      <c r="C116" s="49">
        <f>TEXT(B116,"mmmm")</f>
        <v/>
      </c>
      <c r="D116" s="14" t="inlineStr">
        <is>
          <t>377 - IFAM 2026-006 - Bio Caroço EMBRAPII (15338-9)</t>
        </is>
      </c>
      <c r="E116" s="10" t="inlineStr">
        <is>
          <t>Tarifas Bancárias</t>
        </is>
      </c>
      <c r="F116" s="10" t="inlineStr">
        <is>
          <t>53078/2026</t>
        </is>
      </c>
      <c r="G116" s="10" t="inlineStr">
        <is>
          <t>debito</t>
        </is>
      </c>
      <c r="H116" s="10" t="inlineStr">
        <is>
          <t>Pagamento de Despesa Administrativa e Financeira</t>
        </is>
      </c>
      <c r="I116" s="11" t="inlineStr">
        <is>
          <t>Tarifa bancária do projeto 377 - IFAM 2026-006 - Bio Caroço EMBRAPII (15338-9) importada do arquivo de extrato para conciliação bancária.</t>
        </is>
      </c>
      <c r="J116" s="50" t="n">
        <v>-34.5</v>
      </c>
    </row>
    <row r="117" ht="30" customHeight="1">
      <c r="A117" s="9" t="n">
        <v>46308</v>
      </c>
      <c r="B117" s="9" t="n">
        <v>46308</v>
      </c>
      <c r="C117" s="49">
        <f>TEXT(B117,"mmmm")</f>
        <v/>
      </c>
      <c r="D117" s="14" t="inlineStr">
        <is>
          <t>377 - IFAM 2026-006 - Bio Caroço EMBRAPII (15338-9)</t>
        </is>
      </c>
      <c r="E117" s="10" t="inlineStr">
        <is>
          <t>Tarifas Bancárias</t>
        </is>
      </c>
      <c r="F117" s="10" t="inlineStr">
        <is>
          <t>56240/2026</t>
        </is>
      </c>
      <c r="G117" s="10" t="inlineStr">
        <is>
          <t>debito</t>
        </is>
      </c>
      <c r="H117" s="10" t="inlineStr">
        <is>
          <t>Pagamento de Despesa Administrativa e Financeira</t>
        </is>
      </c>
      <c r="I117" s="11" t="inlineStr">
        <is>
          <t>Tarifa bancÃ¡ria do projeto 377 - IFAM 2026-006 - Bio Caroço EMBRAPII (15338-9) importada do arquivo de extrato para conciliaÃ§Ã£o bancÃ¡ria.</t>
        </is>
      </c>
      <c r="J117" s="50" t="n">
        <v>-6.32</v>
      </c>
    </row>
    <row r="118" ht="30" customHeight="1">
      <c r="A118" s="9" t="n">
        <v>46309</v>
      </c>
      <c r="B118" s="9" t="n">
        <v>46309</v>
      </c>
      <c r="C118" s="49">
        <f>TEXT(B118,"mmmm")</f>
        <v/>
      </c>
      <c r="D118" s="14" t="inlineStr">
        <is>
          <t>377 - IFAM 2026-006 - Bio Caroço EMBRAPII (15338-9)</t>
        </is>
      </c>
      <c r="E118" s="10" t="inlineStr">
        <is>
          <t>Tarifas Bancárias</t>
        </is>
      </c>
      <c r="F118" s="10" t="inlineStr">
        <is>
          <t>56242/2026</t>
        </is>
      </c>
      <c r="G118" s="10" t="inlineStr">
        <is>
          <t>debito</t>
        </is>
      </c>
      <c r="H118" s="10" t="inlineStr">
        <is>
          <t>Pagamento de Despesa Administrativa e Financeira</t>
        </is>
      </c>
      <c r="I118" s="11" t="inlineStr">
        <is>
          <t>Tarifa bancÃ¡ria do projeto 377 - IFAM 2026-006 - Bio Caroço EMBRAPII (15338-9) importada do arquivo de extrato para conciliaÃ§Ã£o bancÃ¡ria.</t>
        </is>
      </c>
      <c r="J118" s="50" t="n">
        <v>-15.8</v>
      </c>
    </row>
    <row r="119" ht="30" customHeight="1">
      <c r="A119" s="9" t="n">
        <v>46311</v>
      </c>
      <c r="B119" s="9" t="n">
        <v>46311</v>
      </c>
      <c r="C119" s="49">
        <f>TEXT(B119,"mmmm")</f>
        <v/>
      </c>
      <c r="D119" s="14" t="inlineStr">
        <is>
          <t>377 - IFAM 2026-006 - Bio Caroço EMBRAPII (15338-9)</t>
        </is>
      </c>
      <c r="E119" s="10" t="inlineStr">
        <is>
          <t>Tarifas Bancárias</t>
        </is>
      </c>
      <c r="F119" s="10" t="inlineStr">
        <is>
          <t>56238/2026</t>
        </is>
      </c>
      <c r="G119" s="10" t="inlineStr">
        <is>
          <t>debito</t>
        </is>
      </c>
      <c r="H119" s="10" t="inlineStr">
        <is>
          <t>Pagamento de Despesa Administrativa e Financeira</t>
        </is>
      </c>
      <c r="I119" s="11" t="inlineStr">
        <is>
          <t>Tarifa bancÃ¡ria do projeto 377 - IFAM 2026-006 - Bio Caroço EMBRAPII (15338-9) importada do arquivo de extrato para conciliaÃ§Ã£o bancÃ¡ria.</t>
        </is>
      </c>
      <c r="J119" s="50" t="n">
        <v>-3.16</v>
      </c>
    </row>
    <row r="120" ht="30" customHeight="1">
      <c r="A120" s="9" t="n">
        <v>46314</v>
      </c>
      <c r="B120" s="9" t="n">
        <v>46314</v>
      </c>
      <c r="C120" s="49">
        <f>TEXT(B120,"mmmm")</f>
        <v/>
      </c>
      <c r="D120" s="14" t="inlineStr">
        <is>
          <t>377 - IFAM 2026-006 - Bio Caroço EMBRAPII (15338-9)</t>
        </is>
      </c>
      <c r="E120" s="10" t="inlineStr">
        <is>
          <t>Tarifas Bancárias</t>
        </is>
      </c>
      <c r="F120" s="10" t="inlineStr">
        <is>
          <t>56236/2026</t>
        </is>
      </c>
      <c r="G120" s="10" t="inlineStr">
        <is>
          <t>debito</t>
        </is>
      </c>
      <c r="H120" s="10" t="inlineStr">
        <is>
          <t>Pagamento de Despesa Administrativa e Financeira</t>
        </is>
      </c>
      <c r="I120" s="11" t="inlineStr">
        <is>
          <t>Tarifa bancÃ¡ria do projeto 377 - IFAM 2026-006 - Bio Caroço EMBRAPII (15338-9) importada do arquivo de extrato para conciliaÃ§Ã£o bancÃ¡ria.</t>
        </is>
      </c>
      <c r="J120" s="50" t="n">
        <v>-3.16</v>
      </c>
    </row>
  </sheetData>
  <autoFilter ref="A1:J120"/>
  <pageMargins left="0.511811024" right="0.511811024" top="0.787401575" bottom="0.787401575" header="0.31496062" footer="0.31496062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3:H23"/>
  <sheetViews>
    <sheetView showGridLines="0" tabSelected="1" zoomScaleNormal="100" workbookViewId="0">
      <selection activeCell="A10" activeCellId="1" sqref="A5 A10 A15"/>
    </sheetView>
  </sheetViews>
  <sheetFormatPr baseColWidth="8" defaultRowHeight="15"/>
  <cols>
    <col width="51.140625" customWidth="1" style="20" min="1" max="1"/>
    <col width="20.140625" bestFit="1" customWidth="1" style="20" min="2" max="2"/>
    <col width="13.42578125" bestFit="1" customWidth="1" style="20" min="3" max="3"/>
    <col width="13.85546875" bestFit="1" customWidth="1" style="20" min="4" max="4"/>
    <col width="19.140625" customWidth="1" style="20" min="5" max="5"/>
    <col width="12" bestFit="1" customWidth="1" style="20" min="6" max="6"/>
    <col width="10.42578125" bestFit="1" customWidth="1" style="20" min="7" max="7"/>
    <col width="13.85546875" bestFit="1" customWidth="1" style="20" min="8" max="8"/>
    <col width="9.140625" customWidth="1" style="20" min="9" max="16384"/>
  </cols>
  <sheetData>
    <row r="3">
      <c r="A3" s="21" t="inlineStr">
        <is>
          <t>Soma de valor</t>
        </is>
      </c>
      <c r="B3" s="21" t="inlineStr">
        <is>
          <t>Rótulos de Coluna</t>
        </is>
      </c>
    </row>
    <row r="4" ht="45" customHeight="1">
      <c r="A4" s="25" t="inlineStr">
        <is>
          <t>Rótulos de Linha</t>
        </is>
      </c>
      <c r="B4" s="27" t="inlineStr">
        <is>
          <t>Investimento</t>
        </is>
      </c>
      <c r="C4" s="27" t="inlineStr">
        <is>
          <t>Obrigações Tributárias e Contributivas</t>
        </is>
      </c>
      <c r="D4" s="27" t="inlineStr">
        <is>
          <t>Receita</t>
        </is>
      </c>
      <c r="E4" s="27" t="inlineStr">
        <is>
          <t>Recursos Humanos - Bolsa</t>
        </is>
      </c>
      <c r="F4" s="27" t="inlineStr">
        <is>
          <t>Serviços Terceiros PJ</t>
        </is>
      </c>
      <c r="G4" s="27" t="inlineStr">
        <is>
          <t>Tarifas Bancárias</t>
        </is>
      </c>
      <c r="H4" s="27" t="inlineStr">
        <is>
          <t>Saldo</t>
        </is>
      </c>
    </row>
    <row r="5">
      <c r="A5" s="26" t="inlineStr">
        <is>
          <t>375 - IFAM 2026-006 - Bio Caroço (15334-6)</t>
        </is>
      </c>
      <c r="B5" s="51" t="n">
        <v>486.09</v>
      </c>
      <c r="C5" s="51" t="n">
        <v>-4125</v>
      </c>
      <c r="D5" s="51" t="n">
        <v>27500</v>
      </c>
      <c r="E5" s="51" t="n">
        <v>-11200</v>
      </c>
      <c r="F5" s="51" t="n">
        <v>-8485.719999999999</v>
      </c>
      <c r="G5" s="51" t="n">
        <v>-139.7</v>
      </c>
      <c r="H5" s="51" t="n">
        <v>4035.669999999995</v>
      </c>
    </row>
    <row r="6">
      <c r="A6" s="28" t="inlineStr">
        <is>
          <t>julho</t>
        </is>
      </c>
      <c r="B6" s="51" t="n">
        <v>172.42</v>
      </c>
      <c r="C6" s="51" t="n">
        <v>-4125</v>
      </c>
      <c r="D6" s="51" t="n">
        <v>27500</v>
      </c>
      <c r="E6" s="51" t="n">
        <v>-2800</v>
      </c>
      <c r="F6" s="51" t="n"/>
      <c r="G6" s="51" t="n">
        <v>-36.2</v>
      </c>
      <c r="H6" s="51" t="n">
        <v>20711.22</v>
      </c>
    </row>
    <row r="7">
      <c r="A7" s="28" t="inlineStr">
        <is>
          <t>agosto</t>
        </is>
      </c>
      <c r="B7" s="51" t="n">
        <v>148.09</v>
      </c>
      <c r="C7" s="51" t="n"/>
      <c r="D7" s="51" t="n"/>
      <c r="E7" s="51" t="n">
        <v>-2800</v>
      </c>
      <c r="F7" s="51" t="n">
        <v>-128.58</v>
      </c>
      <c r="G7" s="51" t="n">
        <v>-34.5</v>
      </c>
      <c r="H7" s="51" t="n">
        <v>-2814.99</v>
      </c>
    </row>
    <row r="8">
      <c r="A8" s="28" t="inlineStr">
        <is>
          <t>setembro</t>
        </is>
      </c>
      <c r="B8" s="51" t="n">
        <v>115.12</v>
      </c>
      <c r="C8" s="51" t="n"/>
      <c r="D8" s="51" t="n"/>
      <c r="E8" s="51" t="n">
        <v>-2800</v>
      </c>
      <c r="F8" s="51" t="n">
        <v>-128.57</v>
      </c>
      <c r="G8" s="51" t="n">
        <v>-34.5</v>
      </c>
      <c r="H8" s="51" t="n">
        <v>-2847.95</v>
      </c>
    </row>
    <row r="9">
      <c r="A9" s="28" t="inlineStr">
        <is>
          <t>outubro</t>
        </is>
      </c>
      <c r="B9" s="51" t="n">
        <v>50.46000000000001</v>
      </c>
      <c r="C9" s="51" t="n"/>
      <c r="D9" s="51" t="n"/>
      <c r="E9" s="51" t="n">
        <v>-2800</v>
      </c>
      <c r="F9" s="51" t="n">
        <v>-8228.57</v>
      </c>
      <c r="G9" s="51" t="n">
        <v>-34.5</v>
      </c>
      <c r="H9" s="51" t="n">
        <v>-11012.61</v>
      </c>
    </row>
    <row r="10" ht="30" customHeight="1">
      <c r="A10" s="26" t="inlineStr">
        <is>
          <t>376 - IFAM 2026-006 - Bio Caroço SEBRAE (15335-4)</t>
        </is>
      </c>
      <c r="B10" s="51" t="n">
        <v>1754.55</v>
      </c>
      <c r="C10" s="51" t="n"/>
      <c r="D10" s="51" t="n">
        <v>150000</v>
      </c>
      <c r="E10" s="51" t="n">
        <v>-140000</v>
      </c>
      <c r="F10" s="51" t="n"/>
      <c r="G10" s="51" t="n">
        <v>-188.82</v>
      </c>
      <c r="H10" s="51" t="n">
        <v>11565.72999999999</v>
      </c>
    </row>
    <row r="11">
      <c r="A11" s="28" t="inlineStr">
        <is>
          <t>julho</t>
        </is>
      </c>
      <c r="B11" s="51" t="n">
        <v>963.6100000000001</v>
      </c>
      <c r="C11" s="51" t="n"/>
      <c r="D11" s="51" t="n">
        <v>150000</v>
      </c>
      <c r="E11" s="51" t="n">
        <v>-12000</v>
      </c>
      <c r="F11" s="51" t="n"/>
      <c r="G11" s="51" t="n">
        <v>-3.16</v>
      </c>
      <c r="H11" s="51" t="n">
        <v>138960.45</v>
      </c>
    </row>
    <row r="12">
      <c r="A12" s="28" t="inlineStr">
        <is>
          <t>agosto</t>
        </is>
      </c>
      <c r="B12" s="51" t="n">
        <v>657.66</v>
      </c>
      <c r="C12" s="51" t="n"/>
      <c r="D12" s="51" t="n"/>
      <c r="E12" s="51" t="n">
        <v>-60000</v>
      </c>
      <c r="F12" s="51" t="n"/>
      <c r="G12" s="51" t="n">
        <v>-75.58</v>
      </c>
      <c r="H12" s="51" t="n">
        <v>-59417.92</v>
      </c>
    </row>
    <row r="13">
      <c r="A13" s="28" t="inlineStr">
        <is>
          <t>setembro</t>
        </is>
      </c>
      <c r="B13" s="51" t="n">
        <v>120.44</v>
      </c>
      <c r="C13" s="51" t="n"/>
      <c r="D13" s="51" t="n"/>
      <c r="E13" s="51" t="n">
        <v>-52000</v>
      </c>
      <c r="F13" s="51" t="n"/>
      <c r="G13" s="51" t="n">
        <v>-62.94</v>
      </c>
      <c r="H13" s="51" t="n">
        <v>-51942.5</v>
      </c>
    </row>
    <row r="14">
      <c r="A14" s="28" t="inlineStr">
        <is>
          <t>outubro</t>
        </is>
      </c>
      <c r="B14" s="51" t="n">
        <v>12.83999999999999</v>
      </c>
      <c r="C14" s="51" t="n"/>
      <c r="D14" s="51" t="n"/>
      <c r="E14" s="51" t="n">
        <v>-16000</v>
      </c>
      <c r="F14" s="51" t="n"/>
      <c r="G14" s="51" t="n">
        <v>-47.13999999999999</v>
      </c>
      <c r="H14" s="51" t="n">
        <v>-16034.3</v>
      </c>
    </row>
    <row r="15" ht="30" customHeight="1">
      <c r="A15" s="26" t="inlineStr">
        <is>
          <t>377 - IFAM 2026-006 - Bio Caroço EMBRAPII (15338-9)</t>
        </is>
      </c>
      <c r="B15" s="51" t="n">
        <v>3019.53</v>
      </c>
      <c r="C15" s="51" t="n"/>
      <c r="D15" s="51" t="n">
        <v>148000</v>
      </c>
      <c r="E15" s="51" t="n">
        <v>-52375</v>
      </c>
      <c r="F15" s="51" t="n"/>
      <c r="G15" s="51" t="n">
        <v>-182.24</v>
      </c>
      <c r="H15" s="51" t="n">
        <v>98462.29000000001</v>
      </c>
    </row>
    <row r="16">
      <c r="A16" s="28" t="inlineStr">
        <is>
          <t>junho</t>
        </is>
      </c>
      <c r="B16" s="51" t="n">
        <v>334.52</v>
      </c>
      <c r="C16" s="51" t="n"/>
      <c r="D16" s="51" t="n">
        <v>103000</v>
      </c>
      <c r="E16" s="51" t="n"/>
      <c r="F16" s="51" t="n"/>
      <c r="G16" s="51" t="n"/>
      <c r="H16" s="51" t="n">
        <v>103334.52</v>
      </c>
    </row>
    <row r="17">
      <c r="A17" s="28" t="inlineStr">
        <is>
          <t>julho</t>
        </is>
      </c>
      <c r="B17" s="51" t="n">
        <v>972.42</v>
      </c>
      <c r="C17" s="51" t="n"/>
      <c r="D17" s="51" t="n"/>
      <c r="E17" s="51" t="n"/>
      <c r="F17" s="51" t="n"/>
      <c r="G17" s="51" t="n">
        <v>-34.5</v>
      </c>
      <c r="H17" s="51" t="n">
        <v>937.92</v>
      </c>
    </row>
    <row r="18">
      <c r="A18" s="28" t="inlineStr">
        <is>
          <t>agosto</t>
        </is>
      </c>
      <c r="B18" s="51" t="n">
        <v>845.0300000000001</v>
      </c>
      <c r="C18" s="51" t="n"/>
      <c r="D18" s="51" t="n"/>
      <c r="E18" s="51" t="n">
        <v>-4125</v>
      </c>
      <c r="F18" s="51" t="n"/>
      <c r="G18" s="51" t="n">
        <v>-40.81999999999999</v>
      </c>
      <c r="H18" s="51" t="n">
        <v>-3320.79</v>
      </c>
    </row>
    <row r="19">
      <c r="A19" s="28" t="inlineStr">
        <is>
          <t>setembro</t>
        </is>
      </c>
      <c r="B19" s="51" t="n">
        <v>752.0899999999999</v>
      </c>
      <c r="C19" s="51" t="n"/>
      <c r="D19" s="51" t="n"/>
      <c r="E19" s="51" t="n">
        <v>-6125</v>
      </c>
      <c r="F19" s="51" t="n"/>
      <c r="G19" s="51" t="n">
        <v>-43.98</v>
      </c>
      <c r="H19" s="51" t="n">
        <v>-5416.889999999999</v>
      </c>
    </row>
    <row r="20">
      <c r="A20" s="28" t="inlineStr">
        <is>
          <t>outubro</t>
        </is>
      </c>
      <c r="B20" s="51" t="n">
        <v>115.47</v>
      </c>
      <c r="C20" s="51" t="n"/>
      <c r="D20" s="51" t="n">
        <v>45000</v>
      </c>
      <c r="E20" s="51" t="n">
        <v>-42125</v>
      </c>
      <c r="F20" s="51" t="n"/>
      <c r="G20" s="51" t="n">
        <v>-62.94</v>
      </c>
      <c r="H20" s="51" t="n">
        <v>2927.530000000001</v>
      </c>
    </row>
    <row r="21">
      <c r="A21" s="22" t="inlineStr">
        <is>
          <t>Saldo</t>
        </is>
      </c>
      <c r="B21" s="51" t="n">
        <v>5260.170000000001</v>
      </c>
      <c r="C21" s="51" t="n">
        <v>-4125</v>
      </c>
      <c r="D21" s="51" t="n">
        <v>325500</v>
      </c>
      <c r="E21" s="51" t="n">
        <v>-203575</v>
      </c>
      <c r="F21" s="51" t="n">
        <v>-8485.719999999999</v>
      </c>
      <c r="G21" s="51" t="n">
        <v>-510.76</v>
      </c>
      <c r="H21" s="51" t="n">
        <v>114063.69</v>
      </c>
    </row>
    <row r="22"/>
    <row r="23"/>
  </sheetData>
  <pageMargins left="0.511811024" right="0.511811024" top="0.787401575" bottom="0.787401575" header="0.31496062" footer="0.31496062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J106"/>
  <sheetViews>
    <sheetView showGridLines="0" topLeftCell="A6" zoomScale="85" zoomScaleNormal="85" workbookViewId="0">
      <selection activeCell="D77" sqref="D77"/>
    </sheetView>
  </sheetViews>
  <sheetFormatPr baseColWidth="8" defaultRowHeight="15"/>
  <cols>
    <col width="3" customWidth="1" style="20" min="1" max="1"/>
    <col width="51.85546875" customWidth="1" style="20" min="2" max="2"/>
    <col width="20.7109375" bestFit="1" customWidth="1" style="20" min="3" max="3"/>
    <col width="17.28515625" bestFit="1" customWidth="1" style="20" min="4" max="4"/>
    <col width="20.85546875" bestFit="1" customWidth="1" style="20" min="5" max="5"/>
    <col width="14.28515625" bestFit="1" customWidth="1" style="20" min="6" max="6"/>
    <col width="24.140625" bestFit="1" customWidth="1" style="20" min="7" max="7"/>
    <col width="20.28515625" bestFit="1" customWidth="1" style="20" min="8" max="8"/>
    <col width="16.28515625" bestFit="1" customWidth="1" style="20" min="9" max="9"/>
    <col width="14.28515625" bestFit="1" customWidth="1" style="20" min="10" max="10"/>
    <col width="10.85546875" customWidth="1" style="20" min="11" max="11"/>
    <col width="9.140625" customWidth="1" style="20" min="12" max="16384"/>
  </cols>
  <sheetData>
    <row r="2" ht="21" customHeight="1">
      <c r="B2" s="38" t="inlineStr">
        <is>
          <t>EXECUÇÃO FINANCEIRA MENSAL POR CONTA BANCÁRIA</t>
        </is>
      </c>
    </row>
    <row r="3">
      <c r="B3" s="39" t="inlineStr">
        <is>
          <t>Projeto PDI Bio Caroço (Convênio 02/2026) | Acompanhamento de Entradas, Rendimentos, Débitos e Saldo (Junho a Outubro/2026)</t>
        </is>
      </c>
    </row>
    <row r="5">
      <c r="B5" s="36" t="inlineStr">
        <is>
          <t>Conta 375 - IFAM 2026-006 - Bio Caroço (15334-6) | Recursos da Empresa Parceira (Contrapartida Financeira)</t>
        </is>
      </c>
      <c r="C5" s="52" t="n"/>
      <c r="D5" s="52" t="n"/>
      <c r="E5" s="52" t="n"/>
      <c r="F5" s="53" t="n"/>
    </row>
    <row r="6">
      <c r="B6" s="29" t="inlineStr">
        <is>
          <t>Mês</t>
        </is>
      </c>
      <c r="C6" s="29" t="inlineStr">
        <is>
          <t>Entradas</t>
        </is>
      </c>
      <c r="D6" s="29" t="inlineStr">
        <is>
          <t>Rendimentos</t>
        </is>
      </c>
      <c r="E6" s="29" t="inlineStr">
        <is>
          <t>Débitos</t>
        </is>
      </c>
      <c r="F6" s="29" t="inlineStr">
        <is>
          <t>Saldo</t>
        </is>
      </c>
    </row>
    <row r="7">
      <c r="B7" s="30" t="inlineStr">
        <is>
          <t>Junho/26</t>
        </is>
      </c>
      <c r="C7" s="54">
        <f>SUMIFS(tb_Extrato[valor], tb_Extrato[conta], "375 - IFAM 2026-006 - Bio Caroço (15334-6)", tb_Extrato[mês], "junho", tb_Extrato[rubrica], "Receita")</f>
        <v/>
      </c>
      <c r="D7" s="54">
        <f>SUMIFS(tb_Extrato[valor], tb_Extrato[conta], "375 - IFAM 2026-006 - Bio Caroço (15334-6)", tb_Extrato[mês], "junho", tb_Extrato[rubrica], "Investimento")</f>
        <v/>
      </c>
      <c r="E7" s="54">
        <f>-SUMIFS(tb_Extrato[valor], tb_Extrato[conta], "375 - IFAM 2026-006 - Bio Caroço (15334-6)", tb_Extrato[mês], "junho", tb_Extrato[rubrica], "&lt;&gt;Receita", tb_Extrato[rubrica], "&lt;&gt;Investimento")</f>
        <v/>
      </c>
      <c r="F7" s="54">
        <f>C7+D7-E7</f>
        <v/>
      </c>
    </row>
    <row r="8">
      <c r="B8" s="32" t="inlineStr">
        <is>
          <t>Julho/26</t>
        </is>
      </c>
      <c r="C8" s="55">
        <f>SUMIFS(tb_Extrato[valor], tb_Extrato[conta], "375 - IFAM 2026-006 - Bio Caroço (15334-6)", tb_Extrato[mês], "julho", tb_Extrato[rubrica], "Receita")</f>
        <v/>
      </c>
      <c r="D8" s="54">
        <f>SUMIFS(tb_Extrato[valor], tb_Extrato[conta], "375 - IFAM 2026-006 - Bio Caroço (15334-6)", tb_Extrato[mês], "julho", tb_Extrato[rubrica], "Investimento")</f>
        <v/>
      </c>
      <c r="E8" s="55">
        <f>-SUMIFS(tb_Extrato[valor], tb_Extrato[conta], "375 - IFAM 2026-006 - Bio Caroço (15334-6)", tb_Extrato[mês], "julho", tb_Extrato[rubrica], "&lt;&gt;Receita", tb_Extrato[rubrica], "&lt;&gt;Investimento")</f>
        <v/>
      </c>
      <c r="F8" s="55">
        <f>F7+C8+D8-E8</f>
        <v/>
      </c>
    </row>
    <row r="9">
      <c r="B9" s="30" t="inlineStr">
        <is>
          <t>Agosto/26</t>
        </is>
      </c>
      <c r="C9" s="54">
        <f>SUMIFS(tb_Extrato[valor], tb_Extrato[conta], "375 - IFAM 2026-006 - Bio Caroço (15334-6)", tb_Extrato[mês], "agosto", tb_Extrato[rubrica], "Receita")</f>
        <v/>
      </c>
      <c r="D9" s="54">
        <f>SUMIFS(tb_Extrato[valor], tb_Extrato[conta], "375 - IFAM 2026-006 - Bio Caroço (15334-6)", tb_Extrato[mês], "agosto", tb_Extrato[rubrica], "Investimento")</f>
        <v/>
      </c>
      <c r="E9" s="54">
        <f>-SUMIFS(tb_Extrato[valor], tb_Extrato[conta], "375 - IFAM 2026-006 - Bio Caroço (15334-6)", tb_Extrato[mês], "agosto", tb_Extrato[rubrica], "&lt;&gt;Receita", tb_Extrato[rubrica], "&lt;&gt;Investimento")</f>
        <v/>
      </c>
      <c r="F9" s="54">
        <f>F8+C9+D9-E9</f>
        <v/>
      </c>
    </row>
    <row r="10">
      <c r="B10" s="32" t="inlineStr">
        <is>
          <t>Setembro/26</t>
        </is>
      </c>
      <c r="C10" s="55">
        <f>SUMIFS(tb_Extrato[valor], tb_Extrato[conta], "375 - IFAM 2026-006 - Bio Caroço (15334-6)", tb_Extrato[mês], "setembro", tb_Extrato[rubrica], "Receita")</f>
        <v/>
      </c>
      <c r="D10" s="55">
        <f>SUMIFS(tb_Extrato[valor], tb_Extrato[conta], "375 - IFAM 2026-006 - Bio Caroço (15334-6)", tb_Extrato[mês], "setembro", tb_Extrato[rubrica], "Investimento")</f>
        <v/>
      </c>
      <c r="E10" s="55">
        <f>-SUMIFS(tb_Extrato[valor], tb_Extrato[conta], "375 - IFAM 2026-006 - Bio Caroço (15334-6)", tb_Extrato[mês], "setembro", tb_Extrato[rubrica], "&lt;&gt;Receita", tb_Extrato[rubrica], "&lt;&gt;Investimento")</f>
        <v/>
      </c>
      <c r="F10" s="55">
        <f>F9+C10+D10-E10</f>
        <v/>
      </c>
    </row>
    <row r="11">
      <c r="B11" s="30" t="inlineStr">
        <is>
          <t>Outubro/26</t>
        </is>
      </c>
      <c r="C11" s="54">
        <f>SUMIFS(tb_Extrato[valor], tb_Extrato[conta], "375 - IFAM 2026-006 - Bio Caroço (15334-6)", tb_Extrato[mês], "outubro", tb_Extrato[rubrica], "Receita")</f>
        <v/>
      </c>
      <c r="D11" s="54">
        <f>SUMIFS(tb_Extrato[valor], tb_Extrato[conta], "375 - IFAM 2026-006 - Bio Caroço (15334-6)", tb_Extrato[mês], "outubro", tb_Extrato[rubrica], "Investimento")</f>
        <v/>
      </c>
      <c r="E11" s="54">
        <f>-SUMIFS(tb_Extrato[valor], tb_Extrato[conta], "375 - IFAM 2026-006 - Bio Caroço (15334-6)", tb_Extrato[mês], "outubro", tb_Extrato[rubrica], "&lt;&gt;Receita", tb_Extrato[rubrica], "&lt;&gt;Investimento")</f>
        <v/>
      </c>
      <c r="F11" s="54">
        <f>F10+C11+D11-E11</f>
        <v/>
      </c>
    </row>
    <row r="12">
      <c r="B12" s="34" t="inlineStr">
        <is>
          <t>Total Acumulado</t>
        </is>
      </c>
      <c r="C12" s="56">
        <f>SUM(C7:C11)</f>
        <v/>
      </c>
      <c r="D12" s="56">
        <f>SUM(D7:D11)</f>
        <v/>
      </c>
      <c r="E12" s="56">
        <f>SUM(E7:E11)</f>
        <v/>
      </c>
      <c r="F12" s="56">
        <f>F11</f>
        <v/>
      </c>
    </row>
    <row r="26">
      <c r="B26" s="36" t="inlineStr">
        <is>
          <t>Conta 376 - IFAM 2026-006 - Bio Caroço SEBRAE (15335-4) | Recursos SEBRAE</t>
        </is>
      </c>
      <c r="C26" s="52" t="n"/>
      <c r="D26" s="52" t="n"/>
      <c r="E26" s="52" t="n"/>
      <c r="F26" s="53" t="n"/>
    </row>
    <row r="27">
      <c r="B27" s="29" t="inlineStr">
        <is>
          <t>Mês</t>
        </is>
      </c>
      <c r="C27" s="29" t="inlineStr">
        <is>
          <t>Entradas</t>
        </is>
      </c>
      <c r="D27" s="29" t="inlineStr">
        <is>
          <t>Rendimentos</t>
        </is>
      </c>
      <c r="E27" s="29" t="inlineStr">
        <is>
          <t>Débitos</t>
        </is>
      </c>
      <c r="F27" s="29" t="inlineStr">
        <is>
          <t>Saldo</t>
        </is>
      </c>
    </row>
    <row r="28">
      <c r="B28" s="30" t="inlineStr">
        <is>
          <t>Junho/26</t>
        </is>
      </c>
      <c r="C28" s="54">
        <f>SUMIFS(tb_Extrato[valor], tb_Extrato[conta], "376 - IFAM 2026-006 - Bio Caroço SEBRAE (15335-4)", tb_Extrato[mês], "junho", tb_Extrato[rubrica], "Receita")</f>
        <v/>
      </c>
      <c r="D28" s="55">
        <f>SUMIFS(tb_Extrato[valor], tb_Extrato[conta], "376 - IFAM 2026-006 - Bio Caroço SEBRAE (15335-4)", tb_Extrato[mês], "junho", tb_Extrato[rubrica], "Investimento")</f>
        <v/>
      </c>
      <c r="E28" s="54">
        <f>-SUMIFS(tb_Extrato[valor], tb_Extrato[conta], "376 - IFAM 2026-006 - Bio Caroço SEBRAE (15335-4)", tb_Extrato[mês], "junho", tb_Extrato[rubrica], "&lt;&gt;Receita", tb_Extrato[rubrica], "&lt;&gt;Investimento")</f>
        <v/>
      </c>
      <c r="F28" s="54">
        <f>C28+D28-E28</f>
        <v/>
      </c>
    </row>
    <row r="29">
      <c r="B29" s="32" t="inlineStr">
        <is>
          <t>Julho/26</t>
        </is>
      </c>
      <c r="C29" s="55">
        <f>SUMIFS(tb_Extrato[valor], tb_Extrato[conta], "376 - IFAM 2026-006 - Bio Caroço SEBRAE (15335-4)", tb_Extrato[mês], "julho", tb_Extrato[rubrica], "Receita")</f>
        <v/>
      </c>
      <c r="D29" s="55">
        <f>SUMIFS(tb_Extrato[valor], tb_Extrato[conta], "376 - IFAM 2026-006 - Bio Caroço SEBRAE (15335-4)", tb_Extrato[mês], "julho", tb_Extrato[rubrica], "Investimento")</f>
        <v/>
      </c>
      <c r="E29" s="55">
        <f>-SUMIFS(tb_Extrato[valor], tb_Extrato[conta], "376 - IFAM 2026-006 - Bio Caroço SEBRAE (15335-4)", tb_Extrato[mês], "julho", tb_Extrato[rubrica], "&lt;&gt;Receita", tb_Extrato[rubrica], "&lt;&gt;Investimento")</f>
        <v/>
      </c>
      <c r="F29" s="55">
        <f>F28+C29+D29-E29</f>
        <v/>
      </c>
    </row>
    <row r="30">
      <c r="B30" s="30" t="inlineStr">
        <is>
          <t>Agosto/26</t>
        </is>
      </c>
      <c r="C30" s="54">
        <f>SUMIFS(tb_Extrato[valor], tb_Extrato[conta], "376 - IFAM 2026-006 - Bio Caroço SEBRAE (15335-4)", tb_Extrato[mês], "agosto", tb_Extrato[rubrica], "Receita")</f>
        <v/>
      </c>
      <c r="D30" s="54">
        <f>SUMIFS(tb_Extrato[valor], tb_Extrato[conta], "376 - IFAM 2026-006 - Bio Caroço SEBRAE (15335-4)", tb_Extrato[mês], "agosto", tb_Extrato[rubrica], "Investimento")</f>
        <v/>
      </c>
      <c r="E30" s="54">
        <f>-SUMIFS(tb_Extrato[valor], tb_Extrato[conta], "376 - IFAM 2026-006 - Bio Caroço SEBRAE (15335-4)", tb_Extrato[mês], "agosto", tb_Extrato[rubrica], "&lt;&gt;Receita", tb_Extrato[rubrica], "&lt;&gt;Investimento")</f>
        <v/>
      </c>
      <c r="F30" s="54">
        <f>F29+C30+D30-E30</f>
        <v/>
      </c>
    </row>
    <row r="31">
      <c r="B31" s="32" t="inlineStr">
        <is>
          <t>Setembro/26</t>
        </is>
      </c>
      <c r="C31" s="55">
        <f>SUMIFS(tb_Extrato[valor], tb_Extrato[conta], "376 - IFAM 2026-006 - Bio Caroço SEBRAE (15335-4)", tb_Extrato[mês], "setembro", tb_Extrato[rubrica], "Receita")</f>
        <v/>
      </c>
      <c r="D31" s="55">
        <f>SUMIFS(tb_Extrato[valor], tb_Extrato[conta], "376 - IFAM 2026-006 - Bio Caroço SEBRAE (15335-4)", tb_Extrato[mês], "setembro", tb_Extrato[rubrica], "Investimento")</f>
        <v/>
      </c>
      <c r="E31" s="55">
        <f>-SUMIFS(tb_Extrato[valor], tb_Extrato[conta], "376 - IFAM 2026-006 - Bio Caroço SEBRAE (15335-4)", tb_Extrato[mês], "setembro", tb_Extrato[rubrica], "&lt;&gt;Receita", tb_Extrato[rubrica], "&lt;&gt;Investimento")</f>
        <v/>
      </c>
      <c r="F31" s="55">
        <f>F30+C31+D31-E31</f>
        <v/>
      </c>
    </row>
    <row r="32">
      <c r="B32" s="30" t="inlineStr">
        <is>
          <t>Outubro/26</t>
        </is>
      </c>
      <c r="C32" s="54">
        <f>SUMIFS(tb_Extrato[valor], tb_Extrato[conta], "376 - IFAM 2026-006 - Bio Caroço SEBRAE (15335-4)", tb_Extrato[mês], "outubro", tb_Extrato[rubrica], "Receita")</f>
        <v/>
      </c>
      <c r="D32" s="54">
        <f>SUMIFS(tb_Extrato[valor], tb_Extrato[conta], "376 - IFAM 2026-006 - Bio Caroço SEBRAE (15335-4)", tb_Extrato[mês], "outubro", tb_Extrato[rubrica], "Investimento")</f>
        <v/>
      </c>
      <c r="E32" s="54">
        <f>-SUMIFS(tb_Extrato[valor], tb_Extrato[conta], "376 - IFAM 2026-006 - Bio Caroço SEBRAE (15335-4)", tb_Extrato[mês], "outubro", tb_Extrato[rubrica], "&lt;&gt;Receita", tb_Extrato[rubrica], "&lt;&gt;Investimento")</f>
        <v/>
      </c>
      <c r="F32" s="54">
        <f>F31+C32+D32-E32</f>
        <v/>
      </c>
    </row>
    <row r="33">
      <c r="B33" s="34" t="inlineStr">
        <is>
          <t>Total Acumulado</t>
        </is>
      </c>
      <c r="C33" s="56">
        <f>SUM(C28:C32)</f>
        <v/>
      </c>
      <c r="D33" s="56">
        <f>SUM(D28:D32)</f>
        <v/>
      </c>
      <c r="E33" s="56">
        <f>SUM(E28:E32)</f>
        <v/>
      </c>
      <c r="F33" s="56">
        <f>F32</f>
        <v/>
      </c>
    </row>
    <row r="47">
      <c r="B47" s="36" t="inlineStr">
        <is>
          <t>Conta 377 - IFAM 2026-006 - Bio Caroço EMBRAPII (15338-9) | Recursos EMBRAPII</t>
        </is>
      </c>
      <c r="C47" s="52" t="n"/>
      <c r="D47" s="52" t="n"/>
      <c r="E47" s="52" t="n"/>
      <c r="F47" s="53" t="n"/>
    </row>
    <row r="48">
      <c r="B48" s="29" t="inlineStr">
        <is>
          <t>Mês</t>
        </is>
      </c>
      <c r="C48" s="29" t="inlineStr">
        <is>
          <t>Entradas</t>
        </is>
      </c>
      <c r="D48" s="29" t="inlineStr">
        <is>
          <t>Rendimentos</t>
        </is>
      </c>
      <c r="E48" s="29" t="inlineStr">
        <is>
          <t>Débitos</t>
        </is>
      </c>
      <c r="F48" s="29" t="inlineStr">
        <is>
          <t>Saldo</t>
        </is>
      </c>
    </row>
    <row r="49">
      <c r="B49" s="30" t="inlineStr">
        <is>
          <t>Junho/26</t>
        </is>
      </c>
      <c r="C49" s="54">
        <f>SUMIFS(tb_Extrato[valor], tb_Extrato[conta], "377 - IFAM 2026-006 - Bio Caroço EMBRAPII (15338-9)", tb_Extrato[mês], "junho", tb_Extrato[rubrica], "Receita")</f>
        <v/>
      </c>
      <c r="D49" s="54">
        <f>SUMIFS(tb_Extrato[valor], tb_Extrato[conta], "377 - IFAM 2026-006 - Bio Caroço EMBRAPII (15338-9)", tb_Extrato[mês], "junho", tb_Extrato[rubrica], "Investimento")</f>
        <v/>
      </c>
      <c r="E49" s="54">
        <f>-SUMIFS(tb_Extrato[valor], tb_Extrato[conta], "377 - IFAM 2026-006 - Bio Caroço EMBRAPII (15338-9)", tb_Extrato[mês], "junho", tb_Extrato[rubrica], "&lt;&gt;Receita", tb_Extrato[rubrica], "&lt;&gt;Investimento")</f>
        <v/>
      </c>
      <c r="F49" s="54">
        <f>C49+D49-E49</f>
        <v/>
      </c>
    </row>
    <row r="50">
      <c r="B50" s="32" t="inlineStr">
        <is>
          <t>Julho/26</t>
        </is>
      </c>
      <c r="C50" s="55">
        <f>SUMIFS(tb_Extrato[valor], tb_Extrato[conta], "377 - IFAM 2026-006 - Bio Caroço EMBRAPII (15338-9)", tb_Extrato[mês], "julho", tb_Extrato[rubrica], "Receita")</f>
        <v/>
      </c>
      <c r="D50" s="55">
        <f>SUMIFS(tb_Extrato[valor], tb_Extrato[conta], "377 - IFAM 2026-006 - Bio Caroço EMBRAPII (15338-9)", tb_Extrato[mês], "julho", tb_Extrato[rubrica], "Investimento")</f>
        <v/>
      </c>
      <c r="E50" s="55">
        <f>-SUMIFS(tb_Extrato[valor], tb_Extrato[conta], "377 - IFAM 2026-006 - Bio Caroço EMBRAPII (15338-9)", tb_Extrato[mês], "julho", tb_Extrato[rubrica], "&lt;&gt;Receita", tb_Extrato[rubrica], "&lt;&gt;Investimento")</f>
        <v/>
      </c>
      <c r="F50" s="55">
        <f>F49+C50+D50-E50</f>
        <v/>
      </c>
    </row>
    <row r="51">
      <c r="B51" s="30" t="inlineStr">
        <is>
          <t>Agosto/26</t>
        </is>
      </c>
      <c r="C51" s="54">
        <f>SUMIFS(tb_Extrato[valor], tb_Extrato[conta], "377 - IFAM 2026-006 - Bio Caroço EMBRAPII (15338-9)", tb_Extrato[mês], "agosto", tb_Extrato[rubrica], "Receita")</f>
        <v/>
      </c>
      <c r="D51" s="54">
        <f>SUMIFS(tb_Extrato[valor], tb_Extrato[conta], "377 - IFAM 2026-006 - Bio Caroço EMBRAPII (15338-9)", tb_Extrato[mês], "agosto", tb_Extrato[rubrica], "Investimento")</f>
        <v/>
      </c>
      <c r="E51" s="54">
        <f>-SUMIFS(tb_Extrato[valor], tb_Extrato[conta], "377 - IFAM 2026-006 - Bio Caroço EMBRAPII (15338-9)", tb_Extrato[mês], "agosto", tb_Extrato[rubrica], "&lt;&gt;Receita", tb_Extrato[rubrica], "&lt;&gt;Investimento")</f>
        <v/>
      </c>
      <c r="F51" s="54">
        <f>F50+C51+D51-E51</f>
        <v/>
      </c>
    </row>
    <row r="52">
      <c r="B52" s="32" t="inlineStr">
        <is>
          <t>Setembro/26</t>
        </is>
      </c>
      <c r="C52" s="55">
        <f>SUMIFS(tb_Extrato[valor], tb_Extrato[conta], "377 - IFAM 2026-006 - Bio Caroço EMBRAPII (15338-9)", tb_Extrato[mês], "setembro", tb_Extrato[rubrica], "Receita")</f>
        <v/>
      </c>
      <c r="D52" s="55">
        <f>SUMIFS(tb_Extrato[valor], tb_Extrato[conta], "377 - IFAM 2026-006 - Bio Caroço EMBRAPII (15338-9)", tb_Extrato[mês], "setembro", tb_Extrato[rubrica], "Investimento")</f>
        <v/>
      </c>
      <c r="E52" s="55">
        <f>-SUMIFS(tb_Extrato[valor], tb_Extrato[conta], "377 - IFAM 2026-006 - Bio Caroço EMBRAPII (15338-9)", tb_Extrato[mês], "setembro", tb_Extrato[rubrica], "&lt;&gt;Receita", tb_Extrato[rubrica], "&lt;&gt;Investimento")</f>
        <v/>
      </c>
      <c r="F52" s="55">
        <f>F51+C52+D52-E52</f>
        <v/>
      </c>
    </row>
    <row r="53">
      <c r="B53" s="30" t="inlineStr">
        <is>
          <t>Outubro/26</t>
        </is>
      </c>
      <c r="C53" s="54">
        <f>SUMIFS(tb_Extrato[valor], tb_Extrato[conta], "377 - IFAM 2026-006 - Bio Caroço EMBRAPII (15338-9)", tb_Extrato[mês], "outubro", tb_Extrato[rubrica], "Receita")</f>
        <v/>
      </c>
      <c r="D53" s="54">
        <f>SUMIFS(tb_Extrato[valor], tb_Extrato[conta], "377 - IFAM 2026-006 - Bio Caroço EMBRAPII (15338-9)", tb_Extrato[mês], "outubro", tb_Extrato[rubrica], "Investimento")</f>
        <v/>
      </c>
      <c r="E53" s="54">
        <f>-SUMIFS(tb_Extrato[valor], tb_Extrato[conta], "377 - IFAM 2026-006 - Bio Caroço EMBRAPII (15338-9)", tb_Extrato[mês], "outubro", tb_Extrato[rubrica], "&lt;&gt;Receita", tb_Extrato[rubrica], "&lt;&gt;Investimento")</f>
        <v/>
      </c>
      <c r="F53" s="54">
        <f>F52+C53+D53-E53</f>
        <v/>
      </c>
    </row>
    <row r="54">
      <c r="B54" s="34" t="inlineStr">
        <is>
          <t>Total Acumulado</t>
        </is>
      </c>
      <c r="C54" s="56">
        <f>SUM(C49:C53)</f>
        <v/>
      </c>
      <c r="D54" s="56">
        <f>SUM(D49:D53)</f>
        <v/>
      </c>
      <c r="E54" s="56">
        <f>SUM(E49:E53)</f>
        <v/>
      </c>
      <c r="F54" s="56">
        <f>F53</f>
        <v/>
      </c>
    </row>
    <row r="68">
      <c r="B68" s="36" t="inlineStr">
        <is>
          <t>Consolidado Geral - Todas as Contas (375 + 376 + 377) | Visão Global dos Recursos do Projeto Bio Caroço</t>
        </is>
      </c>
      <c r="C68" s="52" t="n"/>
      <c r="D68" s="52" t="n"/>
      <c r="E68" s="52" t="n"/>
      <c r="F68" s="53" t="n"/>
    </row>
    <row r="69">
      <c r="B69" s="29" t="inlineStr">
        <is>
          <t>Mês</t>
        </is>
      </c>
      <c r="C69" s="29" t="inlineStr">
        <is>
          <t>Entradas</t>
        </is>
      </c>
      <c r="D69" s="29" t="inlineStr">
        <is>
          <t>Rendimentos</t>
        </is>
      </c>
      <c r="E69" s="29" t="inlineStr">
        <is>
          <t>Débitos</t>
        </is>
      </c>
      <c r="F69" s="29" t="inlineStr">
        <is>
          <t>Saldo</t>
        </is>
      </c>
    </row>
    <row r="70">
      <c r="B70" s="30" t="inlineStr">
        <is>
          <t>Junho/26</t>
        </is>
      </c>
      <c r="C70" s="54">
        <f>C7+C28+C49</f>
        <v/>
      </c>
      <c r="D70" s="54">
        <f>D7+D28+D49</f>
        <v/>
      </c>
      <c r="E70" s="54">
        <f>E7+E28+E49</f>
        <v/>
      </c>
      <c r="F70" s="54">
        <f>C70+D70-E70</f>
        <v/>
      </c>
    </row>
    <row r="71">
      <c r="B71" s="32" t="inlineStr">
        <is>
          <t>Julho/26</t>
        </is>
      </c>
      <c r="C71" s="55">
        <f>C8+C29+C50</f>
        <v/>
      </c>
      <c r="D71" s="55">
        <f>D8+D29+D50</f>
        <v/>
      </c>
      <c r="E71" s="55">
        <f>E8+E29+E50</f>
        <v/>
      </c>
      <c r="F71" s="55">
        <f>F70+C71+D71-E71</f>
        <v/>
      </c>
    </row>
    <row r="72">
      <c r="B72" s="30" t="inlineStr">
        <is>
          <t>Agosto/26</t>
        </is>
      </c>
      <c r="C72" s="54">
        <f>C9+C30+C51</f>
        <v/>
      </c>
      <c r="D72" s="54">
        <f>D9+D30+D51</f>
        <v/>
      </c>
      <c r="E72" s="54">
        <f>E9+E30+E51</f>
        <v/>
      </c>
      <c r="F72" s="54">
        <f>F71+C72+D72-E72</f>
        <v/>
      </c>
    </row>
    <row r="73">
      <c r="B73" s="32" t="inlineStr">
        <is>
          <t>Setembro/26</t>
        </is>
      </c>
      <c r="C73" s="55">
        <f>C10+C31+C52</f>
        <v/>
      </c>
      <c r="D73" s="55">
        <f>D10+D31+D52</f>
        <v/>
      </c>
      <c r="E73" s="55">
        <f>E10+E31+E52</f>
        <v/>
      </c>
      <c r="F73" s="55">
        <f>F72+C73+D73-E73</f>
        <v/>
      </c>
    </row>
    <row r="74">
      <c r="B74" s="30" t="inlineStr">
        <is>
          <t>Outubro/26</t>
        </is>
      </c>
      <c r="C74" s="54">
        <f>C11+C32+C53</f>
        <v/>
      </c>
      <c r="D74" s="54">
        <f>D11+D32+D53</f>
        <v/>
      </c>
      <c r="E74" s="54">
        <f>E11+E32+E53</f>
        <v/>
      </c>
      <c r="F74" s="54">
        <f>F73+C74+D74-E74</f>
        <v/>
      </c>
    </row>
    <row r="75" ht="15.75" customHeight="1" thickBot="1">
      <c r="B75" s="34" t="inlineStr">
        <is>
          <t>Total Acumulado</t>
        </is>
      </c>
      <c r="C75" s="56">
        <f>SUM(C70:C74)</f>
        <v/>
      </c>
      <c r="D75" s="56">
        <f>SUM(D70:D74)</f>
        <v/>
      </c>
      <c r="E75" s="56">
        <f>SUM(E70:E74)</f>
        <v/>
      </c>
      <c r="F75" s="56">
        <f>F74</f>
        <v/>
      </c>
    </row>
    <row r="91" ht="45" customHeight="1">
      <c r="B91" s="29" t="inlineStr">
        <is>
          <t>Conta</t>
        </is>
      </c>
      <c r="C91" s="29" t="inlineStr">
        <is>
          <t>Mês</t>
        </is>
      </c>
      <c r="D91" s="29" t="inlineStr">
        <is>
          <t>Investimento</t>
        </is>
      </c>
      <c r="E91" s="29" t="inlineStr">
        <is>
          <t>Obrigações Tributárias e Contributivas</t>
        </is>
      </c>
      <c r="F91" s="29" t="inlineStr">
        <is>
          <t>Receita</t>
        </is>
      </c>
      <c r="G91" s="29" t="inlineStr">
        <is>
          <t>Recursos Humanos - Bolsa</t>
        </is>
      </c>
      <c r="H91" s="29" t="inlineStr">
        <is>
          <t>Serviços Terceiros PJ</t>
        </is>
      </c>
      <c r="I91" s="29" t="inlineStr">
        <is>
          <t>Tarifas Bancárias</t>
        </is>
      </c>
      <c r="J91" s="29" t="inlineStr">
        <is>
          <t>Saldo</t>
        </is>
      </c>
    </row>
    <row r="92">
      <c r="B92" s="24" t="inlineStr">
        <is>
          <t>375 - IFAM 2026-006 - Bio Caroço (15334-6)</t>
        </is>
      </c>
      <c r="C92" s="40" t="n">
        <v>46174</v>
      </c>
      <c r="D92" s="57" t="n">
        <v>0</v>
      </c>
      <c r="E92" s="57" t="n">
        <v>0</v>
      </c>
      <c r="F92" s="57" t="n">
        <v>0</v>
      </c>
      <c r="G92" s="57" t="n">
        <v>0</v>
      </c>
      <c r="H92" s="57" t="n">
        <v>0</v>
      </c>
      <c r="I92" s="57" t="n">
        <v>0</v>
      </c>
      <c r="J92" s="57" t="n">
        <v>0</v>
      </c>
    </row>
    <row r="93">
      <c r="B93" s="24" t="inlineStr">
        <is>
          <t>375 - IFAM 2026-006 - Bio Caroço (15334-6)</t>
        </is>
      </c>
      <c r="C93" s="40" t="n">
        <v>46204</v>
      </c>
      <c r="D93" s="57" t="n">
        <v>172.42</v>
      </c>
      <c r="E93" s="57" t="n">
        <v>-4125</v>
      </c>
      <c r="F93" s="57" t="n">
        <v>27500</v>
      </c>
      <c r="G93" s="57" t="n">
        <v>-2800</v>
      </c>
      <c r="H93" s="57" t="n"/>
      <c r="I93" s="57" t="n">
        <v>-36.2</v>
      </c>
      <c r="J93" s="57" t="n">
        <v>20711.22</v>
      </c>
    </row>
    <row r="94">
      <c r="B94" s="24" t="inlineStr">
        <is>
          <t>375 - IFAM 2026-006 - Bio Caroço (15334-6)</t>
        </is>
      </c>
      <c r="C94" s="40" t="n">
        <v>46235</v>
      </c>
      <c r="D94" s="57" t="n">
        <v>148.09</v>
      </c>
      <c r="E94" s="57" t="n"/>
      <c r="F94" s="57" t="n"/>
      <c r="G94" s="57" t="n">
        <v>-2800</v>
      </c>
      <c r="H94" s="57" t="n">
        <v>-128.58</v>
      </c>
      <c r="I94" s="57" t="n">
        <v>-34.5</v>
      </c>
      <c r="J94" s="57" t="n">
        <v>-2814.99</v>
      </c>
    </row>
    <row r="95">
      <c r="B95" s="24" t="inlineStr">
        <is>
          <t>375 - IFAM 2026-006 - Bio Caroço (15334-6)</t>
        </is>
      </c>
      <c r="C95" s="40" t="n">
        <v>46266</v>
      </c>
      <c r="D95" s="57" t="n">
        <v>115.12</v>
      </c>
      <c r="E95" s="57" t="n"/>
      <c r="F95" s="57" t="n"/>
      <c r="G95" s="57" t="n">
        <v>-2800</v>
      </c>
      <c r="H95" s="57" t="n">
        <v>-128.57</v>
      </c>
      <c r="I95" s="57" t="n">
        <v>-34.5</v>
      </c>
      <c r="J95" s="57" t="n">
        <v>-2847.95</v>
      </c>
    </row>
    <row r="96">
      <c r="B96" s="24" t="inlineStr">
        <is>
          <t>375 - IFAM 2026-006 - Bio Caroço (15334-6)</t>
        </is>
      </c>
      <c r="C96" s="40" t="n">
        <v>46296</v>
      </c>
      <c r="D96" s="57" t="n">
        <v>50.46000000000001</v>
      </c>
      <c r="E96" s="57" t="n"/>
      <c r="F96" s="57" t="n"/>
      <c r="G96" s="57" t="n">
        <v>-2800</v>
      </c>
      <c r="H96" s="57" t="n">
        <v>-8228.57</v>
      </c>
      <c r="I96" s="57" t="n">
        <v>-34.5</v>
      </c>
      <c r="J96" s="57" t="n">
        <v>-11012.61</v>
      </c>
    </row>
    <row r="97">
      <c r="B97" s="24" t="inlineStr">
        <is>
          <t>376 - IFAM 2026-006 - Bio Caroço SEBRAE (15335-4)</t>
        </is>
      </c>
      <c r="C97" s="40" t="n">
        <v>46174</v>
      </c>
      <c r="D97" s="57" t="n">
        <v>0</v>
      </c>
      <c r="E97" s="57" t="n">
        <v>0</v>
      </c>
      <c r="F97" s="57" t="n">
        <v>0</v>
      </c>
      <c r="G97" s="57" t="n">
        <v>0</v>
      </c>
      <c r="H97" s="57" t="n">
        <v>0</v>
      </c>
      <c r="I97" s="57" t="n">
        <v>0</v>
      </c>
      <c r="J97" s="57" t="n">
        <v>0</v>
      </c>
    </row>
    <row r="98">
      <c r="B98" s="24" t="inlineStr">
        <is>
          <t>376 - IFAM 2026-006 - Bio Caroço SEBRAE (15335-4)</t>
        </is>
      </c>
      <c r="C98" s="40" t="n">
        <v>46204</v>
      </c>
      <c r="D98" s="57" t="n">
        <v>963.6100000000001</v>
      </c>
      <c r="E98" s="57" t="n"/>
      <c r="F98" s="57" t="n">
        <v>150000</v>
      </c>
      <c r="G98" s="57" t="n">
        <v>-12000</v>
      </c>
      <c r="H98" s="57" t="n"/>
      <c r="I98" s="57" t="n">
        <v>-3.16</v>
      </c>
      <c r="J98" s="57" t="n">
        <v>138960.45</v>
      </c>
    </row>
    <row r="99">
      <c r="B99" s="24" t="inlineStr">
        <is>
          <t>376 - IFAM 2026-006 - Bio Caroço SEBRAE (15335-4)</t>
        </is>
      </c>
      <c r="C99" s="40" t="n">
        <v>46235</v>
      </c>
      <c r="D99" s="57" t="n">
        <v>657.66</v>
      </c>
      <c r="E99" s="57" t="n"/>
      <c r="F99" s="57" t="n"/>
      <c r="G99" s="57" t="n">
        <v>-60000</v>
      </c>
      <c r="H99" s="57" t="n"/>
      <c r="I99" s="57" t="n">
        <v>-75.58</v>
      </c>
      <c r="J99" s="57" t="n">
        <v>-59417.92</v>
      </c>
    </row>
    <row r="100">
      <c r="B100" s="24" t="inlineStr">
        <is>
          <t>376 - IFAM 2026-006 - Bio Caroço SEBRAE (15335-4)</t>
        </is>
      </c>
      <c r="C100" s="40" t="n">
        <v>46266</v>
      </c>
      <c r="D100" s="57" t="n">
        <v>120.44</v>
      </c>
      <c r="E100" s="57" t="n"/>
      <c r="F100" s="57" t="n"/>
      <c r="G100" s="57" t="n">
        <v>-52000</v>
      </c>
      <c r="H100" s="57" t="n"/>
      <c r="I100" s="57" t="n">
        <v>-62.94</v>
      </c>
      <c r="J100" s="57" t="n">
        <v>-51942.5</v>
      </c>
    </row>
    <row r="101">
      <c r="B101" s="24" t="inlineStr">
        <is>
          <t>376 - IFAM 2026-006 - Bio Caroço SEBRAE (15335-4)</t>
        </is>
      </c>
      <c r="C101" s="40" t="n">
        <v>46296</v>
      </c>
      <c r="D101" s="57" t="n">
        <v>12.83999999999999</v>
      </c>
      <c r="E101" s="57" t="n"/>
      <c r="F101" s="57" t="n"/>
      <c r="G101" s="57" t="n">
        <v>-16000</v>
      </c>
      <c r="H101" s="57" t="n"/>
      <c r="I101" s="57" t="n">
        <v>-47.13999999999999</v>
      </c>
      <c r="J101" s="57" t="n">
        <v>-16034.3</v>
      </c>
    </row>
    <row r="102">
      <c r="B102" s="24" t="inlineStr">
        <is>
          <t>377 - IFAM 2026-006 - Bio Caroço EMBRAPII (15338-9)</t>
        </is>
      </c>
      <c r="C102" s="40" t="n">
        <v>46174</v>
      </c>
      <c r="D102" s="57" t="n">
        <v>334.52</v>
      </c>
      <c r="E102" s="57" t="n"/>
      <c r="F102" s="57" t="n">
        <v>103000</v>
      </c>
      <c r="G102" s="57" t="n"/>
      <c r="H102" s="57" t="n"/>
      <c r="I102" s="57" t="n"/>
      <c r="J102" s="57" t="n">
        <v>103334.52</v>
      </c>
    </row>
    <row r="103">
      <c r="B103" s="24" t="inlineStr">
        <is>
          <t>377 - IFAM 2026-006 - Bio Caroço EMBRAPII (15338-9)</t>
        </is>
      </c>
      <c r="C103" s="40" t="n">
        <v>46204</v>
      </c>
      <c r="D103" s="57" t="n">
        <v>972.42</v>
      </c>
      <c r="E103" s="57" t="n"/>
      <c r="F103" s="57" t="n"/>
      <c r="G103" s="57" t="n"/>
      <c r="H103" s="57" t="n"/>
      <c r="I103" s="57" t="n">
        <v>-34.5</v>
      </c>
      <c r="J103" s="57" t="n">
        <v>937.92</v>
      </c>
    </row>
    <row r="104">
      <c r="B104" s="24" t="inlineStr">
        <is>
          <t>377 - IFAM 2026-006 - Bio Caroço EMBRAPII (15338-9)</t>
        </is>
      </c>
      <c r="C104" s="40" t="n">
        <v>46235</v>
      </c>
      <c r="D104" s="57" t="n">
        <v>845.0300000000001</v>
      </c>
      <c r="E104" s="57" t="n"/>
      <c r="F104" s="57" t="n"/>
      <c r="G104" s="57" t="n">
        <v>-4125</v>
      </c>
      <c r="H104" s="57" t="n"/>
      <c r="I104" s="57" t="n">
        <v>-40.81999999999999</v>
      </c>
      <c r="J104" s="57" t="n">
        <v>-3320.79</v>
      </c>
    </row>
    <row r="105">
      <c r="B105" s="24" t="inlineStr">
        <is>
          <t>377 - IFAM 2026-006 - Bio Caroço EMBRAPII (15338-9)</t>
        </is>
      </c>
      <c r="C105" s="40" t="n">
        <v>46266</v>
      </c>
      <c r="D105" s="57" t="n">
        <v>752.0899999999999</v>
      </c>
      <c r="E105" s="57" t="n"/>
      <c r="F105" s="57" t="n"/>
      <c r="G105" s="57" t="n">
        <v>-6125</v>
      </c>
      <c r="H105" s="57" t="n"/>
      <c r="I105" s="57" t="n">
        <v>-43.98</v>
      </c>
      <c r="J105" s="57" t="n">
        <v>-5416.889999999999</v>
      </c>
    </row>
    <row r="106">
      <c r="B106" s="24" t="inlineStr">
        <is>
          <t>377 - IFAM 2026-006 - Bio Caroço EMBRAPII (15338-9)</t>
        </is>
      </c>
      <c r="C106" s="40" t="n">
        <v>46296</v>
      </c>
      <c r="D106" s="57" t="n">
        <v>115.47</v>
      </c>
      <c r="E106" s="57" t="n"/>
      <c r="F106" s="57" t="n">
        <v>45000</v>
      </c>
      <c r="G106" s="57" t="n">
        <v>-42125</v>
      </c>
      <c r="H106" s="57" t="n"/>
      <c r="I106" s="57" t="n">
        <v>-62.94</v>
      </c>
      <c r="J106" s="57" t="n">
        <v>2927.530000000001</v>
      </c>
    </row>
  </sheetData>
  <mergeCells count="4">
    <mergeCell ref="B68:F68"/>
    <mergeCell ref="B26:F26"/>
    <mergeCell ref="B47:F47"/>
    <mergeCell ref="B5:F5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Geziel Sena Colares</dc:creator>
  <dcterms:created xmlns:dcterms="http://purl.org/dc/terms/" xmlns:xsi="http://www.w3.org/2001/XMLSchema-instance" xsi:type="dcterms:W3CDTF">2026-10-05T21:44:48Z</dcterms:created>
  <dcterms:modified xmlns:dcterms="http://purl.org/dc/terms/" xmlns:xsi="http://www.w3.org/2001/XMLSchema-instance" xsi:type="dcterms:W3CDTF">2026-10-28T20:42:16Z</dcterms:modified>
  <cp:lastModifiedBy>Geziel Sena Colares</cp:lastModifiedBy>
</cp:coreProperties>
</file>