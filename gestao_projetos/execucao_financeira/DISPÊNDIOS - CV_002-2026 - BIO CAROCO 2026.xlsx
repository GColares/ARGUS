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RGUS\gestao_projetos\execucao_financeira\"/>
    </mc:Choice>
  </mc:AlternateContent>
  <xr:revisionPtr revIDLastSave="0" documentId="13_ncr:1_{46C7497C-2290-44F0-B904-B0D0E7118526}" xr6:coauthVersionLast="47" xr6:coauthVersionMax="47" xr10:uidLastSave="{00000000-0000-0000-0000-000000000000}"/>
  <bookViews>
    <workbookView xWindow="-120" yWindow="-120" windowWidth="29040" windowHeight="15720" tabRatio="514" activeTab="2" xr2:uid="{00000000-000D-0000-FFFF-FFFF00000000}"/>
  </bookViews>
  <sheets>
    <sheet name="DISPENDIO Geral Empresa" sheetId="1" r:id="rId1"/>
    <sheet name="Fluxo de Caixa" sheetId="2" r:id="rId2"/>
    <sheet name="Cronograma Desembolso" sheetId="3" r:id="rId3"/>
    <sheet name="Pagamento RH" sheetId="4" r:id="rId4"/>
    <sheet name="Controle - Remanejament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3" l="1"/>
  <c r="D28" i="3"/>
  <c r="D30" i="3"/>
  <c r="D31" i="3"/>
  <c r="E21" i="3"/>
  <c r="D19" i="3"/>
  <c r="D32" i="3"/>
  <c r="D29" i="3"/>
  <c r="D21" i="3"/>
  <c r="D22" i="3"/>
  <c r="E20" i="3"/>
  <c r="E19" i="3" s="1"/>
  <c r="E33" i="3" s="1"/>
  <c r="E8" i="3"/>
  <c r="E9" i="3"/>
  <c r="E10" i="3"/>
  <c r="E11" i="3"/>
  <c r="E12" i="3"/>
  <c r="E13" i="3"/>
  <c r="E14" i="3"/>
  <c r="E15" i="3"/>
  <c r="E16" i="3"/>
  <c r="E17" i="3"/>
  <c r="E18" i="3"/>
  <c r="E7" i="3"/>
  <c r="E6" i="3" s="1"/>
  <c r="D8" i="3"/>
  <c r="D9" i="3"/>
  <c r="D10" i="3"/>
  <c r="D11" i="3"/>
  <c r="D12" i="3"/>
  <c r="D13" i="3"/>
  <c r="D14" i="3"/>
  <c r="D15" i="3"/>
  <c r="D16" i="3"/>
  <c r="D17" i="3"/>
  <c r="D18" i="3"/>
  <c r="D20" i="3"/>
  <c r="D23" i="3"/>
  <c r="D7" i="3"/>
  <c r="D6" i="3" s="1"/>
  <c r="B24" i="1"/>
  <c r="B21" i="1"/>
  <c r="B23" i="1"/>
  <c r="B22" i="1"/>
  <c r="B20" i="1"/>
  <c r="B19" i="1"/>
  <c r="B18" i="1"/>
  <c r="B17" i="1"/>
  <c r="B15" i="1"/>
  <c r="B14" i="1"/>
  <c r="B13" i="1"/>
  <c r="B12" i="1"/>
  <c r="B11" i="1"/>
  <c r="B10" i="1"/>
  <c r="B9" i="1"/>
  <c r="L21" i="2"/>
  <c r="M21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5" i="2"/>
  <c r="C10" i="2"/>
  <c r="C14" i="2"/>
  <c r="C13" i="2"/>
  <c r="C6" i="2"/>
  <c r="C5" i="2"/>
  <c r="B42" i="5"/>
  <c r="C39" i="5" s="1"/>
  <c r="C41" i="5"/>
  <c r="C40" i="5"/>
  <c r="C33" i="5"/>
  <c r="C42" i="5" s="1"/>
  <c r="B33" i="5"/>
  <c r="J12" i="5"/>
  <c r="F12" i="5"/>
  <c r="J11" i="5"/>
  <c r="J16" i="5" s="1"/>
  <c r="F11" i="5"/>
  <c r="F16" i="5" s="1"/>
  <c r="B11" i="5"/>
  <c r="P28" i="4"/>
  <c r="O28" i="4"/>
  <c r="N28" i="4"/>
  <c r="M28" i="4"/>
  <c r="L28" i="4"/>
  <c r="K28" i="4"/>
  <c r="J28" i="4"/>
  <c r="I28" i="4"/>
  <c r="H28" i="4"/>
  <c r="E28" i="4"/>
  <c r="Q26" i="4"/>
  <c r="Q28" i="4" s="1"/>
  <c r="F26" i="4"/>
  <c r="F28" i="4" s="1"/>
  <c r="P22" i="4"/>
  <c r="O22" i="4"/>
  <c r="N22" i="4"/>
  <c r="M22" i="4"/>
  <c r="L22" i="4"/>
  <c r="K22" i="4"/>
  <c r="J22" i="4"/>
  <c r="I22" i="4"/>
  <c r="H22" i="4"/>
  <c r="E22" i="4"/>
  <c r="Q18" i="4"/>
  <c r="R18" i="4" s="1"/>
  <c r="F18" i="4"/>
  <c r="Q17" i="4"/>
  <c r="F17" i="4"/>
  <c r="R17" i="4" s="1"/>
  <c r="Q16" i="4"/>
  <c r="R16" i="4" s="1"/>
  <c r="F16" i="4"/>
  <c r="Q15" i="4"/>
  <c r="R15" i="4" s="1"/>
  <c r="F15" i="4"/>
  <c r="Q14" i="4"/>
  <c r="F14" i="4"/>
  <c r="R14" i="4" s="1"/>
  <c r="Q13" i="4"/>
  <c r="R13" i="4" s="1"/>
  <c r="F13" i="4"/>
  <c r="Q12" i="4"/>
  <c r="R12" i="4" s="1"/>
  <c r="F12" i="4"/>
  <c r="Q11" i="4"/>
  <c r="R11" i="4" s="1"/>
  <c r="F11" i="4"/>
  <c r="Q10" i="4"/>
  <c r="R10" i="4" s="1"/>
  <c r="F10" i="4"/>
  <c r="Q9" i="4"/>
  <c r="R9" i="4" s="1"/>
  <c r="F9" i="4"/>
  <c r="Q8" i="4"/>
  <c r="R8" i="4" s="1"/>
  <c r="F8" i="4"/>
  <c r="F22" i="4" s="1"/>
  <c r="Q7" i="4"/>
  <c r="R7" i="4" s="1"/>
  <c r="F7" i="4"/>
  <c r="D75" i="3"/>
  <c r="E72" i="3" s="1"/>
  <c r="E64" i="3"/>
  <c r="D64" i="3"/>
  <c r="F63" i="3"/>
  <c r="G63" i="3" s="1"/>
  <c r="F62" i="3"/>
  <c r="G62" i="3" s="1"/>
  <c r="F61" i="3"/>
  <c r="G61" i="3" s="1"/>
  <c r="F60" i="3"/>
  <c r="G60" i="3" s="1"/>
  <c r="F59" i="3"/>
  <c r="G59" i="3" s="1"/>
  <c r="F58" i="3"/>
  <c r="G58" i="3" s="1"/>
  <c r="F57" i="3"/>
  <c r="G57" i="3" s="1"/>
  <c r="F56" i="3"/>
  <c r="G56" i="3" s="1"/>
  <c r="F55" i="3"/>
  <c r="F49" i="3"/>
  <c r="E49" i="3"/>
  <c r="D49" i="3"/>
  <c r="L20" i="2"/>
  <c r="L19" i="2"/>
  <c r="L18" i="2"/>
  <c r="K18" i="2"/>
  <c r="J18" i="2"/>
  <c r="I18" i="2"/>
  <c r="H18" i="2"/>
  <c r="G18" i="2"/>
  <c r="F18" i="2"/>
  <c r="E18" i="2"/>
  <c r="D18" i="2"/>
  <c r="B18" i="2"/>
  <c r="J17" i="2"/>
  <c r="J21" i="2" s="1"/>
  <c r="H17" i="2"/>
  <c r="H21" i="2" s="1"/>
  <c r="G17" i="2"/>
  <c r="G21" i="2" s="1"/>
  <c r="E17" i="2"/>
  <c r="E21" i="2" s="1"/>
  <c r="B17" i="2"/>
  <c r="L16" i="2"/>
  <c r="L15" i="2"/>
  <c r="L14" i="2"/>
  <c r="L13" i="2"/>
  <c r="K12" i="2"/>
  <c r="L12" i="2" s="1"/>
  <c r="J12" i="2"/>
  <c r="I12" i="2"/>
  <c r="H12" i="2"/>
  <c r="G12" i="2"/>
  <c r="F12" i="2"/>
  <c r="E12" i="2"/>
  <c r="D12" i="2"/>
  <c r="B12" i="2"/>
  <c r="K11" i="2"/>
  <c r="J11" i="2"/>
  <c r="I11" i="2"/>
  <c r="I17" i="2" s="1"/>
  <c r="I21" i="2" s="1"/>
  <c r="H11" i="2"/>
  <c r="G11" i="2"/>
  <c r="F11" i="2"/>
  <c r="F17" i="2" s="1"/>
  <c r="F21" i="2" s="1"/>
  <c r="E11" i="2"/>
  <c r="D11" i="2"/>
  <c r="D17" i="2" s="1"/>
  <c r="B11" i="2"/>
  <c r="L10" i="2"/>
  <c r="L9" i="2"/>
  <c r="L8" i="2"/>
  <c r="L7" i="2"/>
  <c r="L6" i="2"/>
  <c r="L5" i="2"/>
  <c r="D33" i="3" l="1"/>
  <c r="E74" i="3"/>
  <c r="F64" i="3"/>
  <c r="E68" i="3"/>
  <c r="E70" i="3"/>
  <c r="E71" i="3"/>
  <c r="E75" i="3"/>
  <c r="E73" i="3"/>
  <c r="G55" i="3"/>
  <c r="G64" i="3" s="1"/>
  <c r="B16" i="1"/>
  <c r="R22" i="4"/>
  <c r="F19" i="5"/>
  <c r="F21" i="5" s="1"/>
  <c r="G16" i="5"/>
  <c r="G19" i="5" s="1"/>
  <c r="G21" i="5" s="1"/>
  <c r="D21" i="2"/>
  <c r="L17" i="2"/>
  <c r="J19" i="5"/>
  <c r="J21" i="5" s="1"/>
  <c r="K16" i="5"/>
  <c r="K19" i="5" s="1"/>
  <c r="K21" i="5" s="1"/>
  <c r="G12" i="5"/>
  <c r="Q22" i="4"/>
  <c r="C27" i="5"/>
  <c r="C28" i="5"/>
  <c r="B21" i="2"/>
  <c r="C29" i="5"/>
  <c r="C30" i="5"/>
  <c r="R26" i="4"/>
  <c r="R28" i="4" s="1"/>
  <c r="C31" i="5"/>
  <c r="K17" i="2"/>
  <c r="K21" i="2" s="1"/>
  <c r="E69" i="3"/>
  <c r="C32" i="5"/>
  <c r="L11" i="2"/>
  <c r="C34" i="5"/>
  <c r="C35" i="5"/>
  <c r="C36" i="5"/>
  <c r="C37" i="5"/>
  <c r="C38" i="5"/>
  <c r="B16" i="5"/>
  <c r="C12" i="1" l="1"/>
  <c r="C13" i="1"/>
  <c r="C14" i="1"/>
  <c r="C15" i="1"/>
  <c r="C16" i="1"/>
  <c r="C17" i="1"/>
  <c r="C18" i="1"/>
  <c r="C19" i="1"/>
  <c r="C20" i="1"/>
  <c r="C21" i="1"/>
  <c r="C22" i="1"/>
  <c r="C23" i="1"/>
  <c r="C9" i="1"/>
  <c r="C10" i="1"/>
  <c r="C11" i="1"/>
  <c r="C19" i="2"/>
  <c r="C9" i="2"/>
  <c r="C16" i="2"/>
  <c r="C12" i="2"/>
  <c r="C15" i="2"/>
  <c r="C8" i="2"/>
  <c r="C7" i="2"/>
  <c r="C11" i="2"/>
  <c r="C20" i="2"/>
  <c r="C17" i="2"/>
  <c r="C21" i="2" s="1"/>
  <c r="B19" i="5"/>
  <c r="B21" i="5" s="1"/>
  <c r="K15" i="5"/>
  <c r="K10" i="5"/>
  <c r="K14" i="5"/>
  <c r="K9" i="5"/>
  <c r="K13" i="5"/>
  <c r="K8" i="5"/>
  <c r="K18" i="5"/>
  <c r="K12" i="5"/>
  <c r="K7" i="5"/>
  <c r="K17" i="5"/>
  <c r="K6" i="5"/>
  <c r="K11" i="5"/>
  <c r="K5" i="5"/>
  <c r="C18" i="2"/>
  <c r="G15" i="5"/>
  <c r="G10" i="5"/>
  <c r="G14" i="5"/>
  <c r="G9" i="5"/>
  <c r="G13" i="5"/>
  <c r="G8" i="5"/>
  <c r="G18" i="5"/>
  <c r="G7" i="5"/>
  <c r="G17" i="5"/>
  <c r="G6" i="5"/>
  <c r="G11" i="5"/>
  <c r="G5" i="5"/>
  <c r="C24" i="1" l="1"/>
  <c r="C15" i="5"/>
  <c r="C10" i="5"/>
  <c r="C14" i="5"/>
  <c r="C9" i="5"/>
  <c r="C13" i="5"/>
  <c r="C8" i="5"/>
  <c r="C18" i="5"/>
  <c r="C7" i="5"/>
  <c r="C17" i="5"/>
  <c r="C12" i="5"/>
  <c r="C6" i="5"/>
  <c r="C5" i="5"/>
  <c r="C11" i="5"/>
  <c r="C16" i="5"/>
  <c r="C19" i="5" s="1"/>
  <c r="C2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ID#AAACHvcSEtQ
tc={b8438387-c99a-4a31-b5f6-c91b1682fa35}    (2026-09-29 14:29:19)
[Threaded comment]
 Your version of Excel allows you to read this threaded comment; however, any edits to it will get removed if the file is opened in a newer version of Excel. Learn more: https://go.microsoft.com/fwlink/?linkid=870924
Comment:
	Pagamento de bolsa p/ alunos e internet</t>
        </r>
      </text>
    </comment>
    <comment ref="A6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ID#AAACHvcYO8o
Diretoria Administrativa e Financeira do Polo CTHM    (2026-09-29 14:30:21)
Sempre colocar a data da última atualização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63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ID#AAACHvcYO8Y
tc={58ac5096-2b01-4eac-8ae0-f9eb9461f83b}    (2026-09-29 14:29:19)
[Threaded comment]
 Your version of Excel allows you to read this threaded comment; however, any edits to it will get removed if the file is opened in a newer version of Excel. Learn more: https://go.microsoft.com/fwlink/?linkid=870924
Comment:
	Termo aditivo - último pagamento</t>
        </r>
      </text>
    </comment>
  </commentList>
</comments>
</file>

<file path=xl/sharedStrings.xml><?xml version="1.0" encoding="utf-8"?>
<sst xmlns="http://schemas.openxmlformats.org/spreadsheetml/2006/main" count="298" uniqueCount="171">
  <si>
    <t>PROJETO: BIO CAROÇO - Desenvolvimento de um Sistema de Gestão Inteligente de Coletas</t>
  </si>
  <si>
    <t>EMPRESA: LC Indústria e Comercio de Frutas LTDA.</t>
  </si>
  <si>
    <t>CONTROLE - DISPÊNDIOS POR RECURSO</t>
  </si>
  <si>
    <t>ORIGINAL - versão atualizada dia 05/10/2026</t>
  </si>
  <si>
    <t>PLANO DE TRABALHO CONSOLIDADO
EMPRESA</t>
  </si>
  <si>
    <t>DISPÊNDIOS</t>
  </si>
  <si>
    <t>VALOR (R$)</t>
  </si>
  <si>
    <t>%</t>
  </si>
  <si>
    <t>I - programas de computador, máquinas, equipamentos, aparelhos e instrumentos, seus acessórios, sobressalentes e ferramentas, e serviços de instalação dessas máquinas e equipamentos utilizados na execução do projeto;</t>
  </si>
  <si>
    <t>II - aquisição, implantação, ampliação ou modernização de infraestrutura física e de laboratórios de pesquisa, desenvolvimento e inovação e de ICTs;</t>
  </si>
  <si>
    <t>III - RH direto</t>
  </si>
  <si>
    <t>IV - RH indireto</t>
  </si>
  <si>
    <t>V - Serviços Técnicos de Terceiros;</t>
  </si>
  <si>
    <t>VI - Mat. Consumo</t>
  </si>
  <si>
    <t>Total Dispêndios (I a VI)</t>
  </si>
  <si>
    <t>VII - Outros dispêndios correlatos às atividades de pesquisa, desenvolvimento e inovação.</t>
  </si>
  <si>
    <t xml:space="preserve">Publicações e Treinamentos   </t>
  </si>
  <si>
    <t xml:space="preserve">Viagens e diárias </t>
  </si>
  <si>
    <t>ISS</t>
  </si>
  <si>
    <t>Outros(Aluguel, Internet, Telefonia, Impostos Etc)</t>
  </si>
  <si>
    <t>Total Dispêndios (I a VII)</t>
  </si>
  <si>
    <t>DOA (Despesas operacionais e Administrativas)</t>
  </si>
  <si>
    <t>Constituição de Reserva</t>
  </si>
  <si>
    <t>TOTAL</t>
  </si>
  <si>
    <t>PLANEJAMENTO - FLUXO DE CAIXA DO PROJETO - EMPRESA</t>
  </si>
  <si>
    <t>PLANILHA DE DESPÊNDIOS - CONFORME PLANO DE TRABALHO PROPOSTO</t>
  </si>
  <si>
    <t>Total Executado</t>
  </si>
  <si>
    <t>% Executado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</si>
  <si>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</si>
  <si>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</si>
  <si>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</si>
  <si>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</si>
  <si>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</si>
  <si>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</si>
  <si>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</si>
  <si>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</si>
  <si>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ANO BASE 2026 (R$)</t>
  </si>
  <si>
    <t>2026 (%)</t>
  </si>
  <si>
    <t>I - programas de computador, máquinas, equipamentos, aparelhos e instrumentos, seus acessórios, e serviços de instalação dessas máquinas e equipamentos utilizados na execução do projeto;</t>
  </si>
  <si>
    <t xml:space="preserve">IV - RH indireto </t>
  </si>
  <si>
    <t>VI - Materiais de Consumo</t>
  </si>
  <si>
    <t>Treinamentos;</t>
  </si>
  <si>
    <t>Viagens;</t>
  </si>
  <si>
    <t>Outros (Aluguel, Internet, Telefonia, Impostos, etc.);</t>
  </si>
  <si>
    <t>VII - Total DOAS e Fundo de Reserva</t>
  </si>
  <si>
    <t>Total</t>
  </si>
  <si>
    <t>DESEMBOLSO</t>
  </si>
  <si>
    <t>CRONOGRAMA DE DESEMBOLSO - Atual (EMPRESA)</t>
  </si>
  <si>
    <t>Item</t>
  </si>
  <si>
    <t>Meses</t>
  </si>
  <si>
    <t>Parcela</t>
  </si>
  <si>
    <t>Previsto/Bruto</t>
  </si>
  <si>
    <t>Realizado/NF</t>
  </si>
  <si>
    <t>NF</t>
  </si>
  <si>
    <t>Data NF</t>
  </si>
  <si>
    <t>Unidade</t>
  </si>
  <si>
    <t>OBS</t>
  </si>
  <si>
    <t>Oficio</t>
  </si>
  <si>
    <t>Ano Base</t>
  </si>
  <si>
    <t>I - Equipamentos e/ou Materiais Permanentes</t>
  </si>
  <si>
    <t>II- Implantação, ampliação ou modernização</t>
  </si>
  <si>
    <t>-</t>
  </si>
  <si>
    <t xml:space="preserve">    Treinamentos   </t>
  </si>
  <si>
    <t xml:space="preserve">    Viagens</t>
  </si>
  <si>
    <t xml:space="preserve">   Outros(Aluguel, Internet, Telefonia, Impostos Etc)</t>
  </si>
  <si>
    <t xml:space="preserve">    DOA (Despesas operacionais e Administrativas)</t>
  </si>
  <si>
    <t xml:space="preserve">    Constituição de Reserva</t>
  </si>
  <si>
    <t>DESEMBOLSO - EMBRAPII</t>
  </si>
  <si>
    <t>CRONOGRAMA DE DESEMBOLSO - Atual (EMBRAPII)</t>
  </si>
  <si>
    <t>Realizado/Bruto</t>
  </si>
  <si>
    <t>Rendimento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</si>
  <si>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</si>
  <si>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</si>
  <si>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</si>
  <si>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</si>
  <si>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</si>
  <si>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</si>
  <si>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</si>
  <si>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</si>
  <si>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</si>
  <si>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DESEMBOLSO - EMPRESA</t>
  </si>
  <si>
    <t>Valor Líquido</t>
  </si>
  <si>
    <t>NFS-e</t>
  </si>
  <si>
    <t>Data Pagto</t>
  </si>
  <si>
    <t>Saldo</t>
  </si>
  <si>
    <t>01//09</t>
  </si>
  <si>
    <t>02//09</t>
  </si>
  <si>
    <t>03/09</t>
  </si>
  <si>
    <t>04/09</t>
  </si>
  <si>
    <t>05/09</t>
  </si>
  <si>
    <t>06/09</t>
  </si>
  <si>
    <t>07/09</t>
  </si>
  <si>
    <t>08/09</t>
  </si>
  <si>
    <t>09/09</t>
  </si>
  <si>
    <t>PREVISTO</t>
  </si>
  <si>
    <t>PAGAMENTOS REALIZADOS - EMPRESA</t>
  </si>
  <si>
    <t xml:space="preserve">ITEM </t>
  </si>
  <si>
    <t xml:space="preserve">Colaborador </t>
  </si>
  <si>
    <t>Função</t>
  </si>
  <si>
    <t>Parcelas</t>
  </si>
  <si>
    <t>Valor da Bolsas</t>
  </si>
  <si>
    <t>Valor Total</t>
  </si>
  <si>
    <t>CH - Mensal</t>
  </si>
  <si>
    <t>Valores Pagos</t>
  </si>
  <si>
    <t>Parcela 1/9</t>
  </si>
  <si>
    <t>Parcela 2/9</t>
  </si>
  <si>
    <t>Parcela 3/9</t>
  </si>
  <si>
    <t>Parcela 4/9</t>
  </si>
  <si>
    <t>Parcela 5/9</t>
  </si>
  <si>
    <t>Parcela 6/9</t>
  </si>
  <si>
    <t>Parcela 7/9</t>
  </si>
  <si>
    <t>Parcela 8/9</t>
  </si>
  <si>
    <t>Parcela 9/9</t>
  </si>
  <si>
    <t>ANO BASE 2026</t>
  </si>
  <si>
    <t>RH - DIRETO</t>
  </si>
  <si>
    <t>Wenndisson da Silva Souza</t>
  </si>
  <si>
    <t>Coordenador</t>
  </si>
  <si>
    <t>Eduardo Palhares Júnior</t>
  </si>
  <si>
    <t>Cientista de Dados</t>
  </si>
  <si>
    <t>Gabriel Clavila Soares</t>
  </si>
  <si>
    <t>Engenheiro de Software</t>
  </si>
  <si>
    <t>Liane de Oliveira Calais Sobreira</t>
  </si>
  <si>
    <t>Analista Integrador</t>
  </si>
  <si>
    <t>Gabriel Silveira Alencar</t>
  </si>
  <si>
    <t>Analista de Teste</t>
  </si>
  <si>
    <t>Sandro Haiden Teixeira</t>
  </si>
  <si>
    <t>Desenvolvedor Full Stack</t>
  </si>
  <si>
    <t>Nobuyuki Andrade Ashibe</t>
  </si>
  <si>
    <t>Aluno Graduação - (AI)</t>
  </si>
  <si>
    <t>Cairo José Nascimento Carneiro</t>
  </si>
  <si>
    <t>Aluno Graduação (Frontend)</t>
  </si>
  <si>
    <t>Jose Mario Castro de Amaral</t>
  </si>
  <si>
    <t>Aluno Graduação - (Frontend)</t>
  </si>
  <si>
    <t>Bruno Cesar de Souza Falcao</t>
  </si>
  <si>
    <t>Aluno Graduação - (Backend)</t>
  </si>
  <si>
    <t>Rafael Freire Couto da Silva</t>
  </si>
  <si>
    <t>Aluno Graduação (Backend)</t>
  </si>
  <si>
    <t>Gabriel Nogueira de Lima</t>
  </si>
  <si>
    <t>Aluno Graduação - (QA)</t>
  </si>
  <si>
    <t>RH - INDIRETO</t>
  </si>
  <si>
    <t>Geziel Sena Colares</t>
  </si>
  <si>
    <t>Auxiliar Administrativo</t>
  </si>
  <si>
    <t>CONTROLE - DISPÊNDIOS</t>
  </si>
  <si>
    <t>ORIGINAL LC FRUTAS</t>
  </si>
  <si>
    <t>1º REMANEJAMENTO</t>
  </si>
  <si>
    <t>2º REMANEJAMENTO</t>
  </si>
  <si>
    <t>II - Obras civis (aquisição, implantação, ampliação ou modernização de infraestrutura física e de laboratórios)</t>
  </si>
  <si>
    <t>III - RH diretos projeto</t>
  </si>
  <si>
    <t xml:space="preserve">III - RH indireto </t>
  </si>
  <si>
    <t>III - RH indireto do projeto</t>
  </si>
  <si>
    <t>IV - Serviços Técnicos de Terceiros;</t>
  </si>
  <si>
    <t>V - Materiais de Consumo</t>
  </si>
  <si>
    <t>V - Mat. Consumo</t>
  </si>
  <si>
    <t>Total Dispêndios (I a V)</t>
  </si>
  <si>
    <t>VI - Outros dispêndios correlatos às atividades de pesquisa, desenvolvimento e inovação.</t>
  </si>
  <si>
    <t>Total Dispêndios (I a VI) sem ISS</t>
  </si>
  <si>
    <t>TOTAL sem ISS</t>
  </si>
  <si>
    <t>TRIBUTAÇÃO ISS (Despesa a ser alocada na rubrica VI - Outros Dispêndios)</t>
  </si>
  <si>
    <t>TOTAL FINAL DO PROJETO</t>
  </si>
  <si>
    <t>ORIGINAL EMBRAPII</t>
  </si>
  <si>
    <t xml:space="preserve">    ISS</t>
  </si>
  <si>
    <t xml:space="preserve"> 106/2026</t>
  </si>
  <si>
    <t>01/02</t>
  </si>
  <si>
    <t>02/02</t>
  </si>
  <si>
    <t>IV - Serviços Técnicos de Terceiros</t>
  </si>
  <si>
    <t>VI -  Outros Correlatos (rateio de Aluguel, Internet, Telefonia)</t>
  </si>
  <si>
    <t xml:space="preserve">    Outros(Aluguel, Internet, Telefonia, Impostos Etc)</t>
  </si>
  <si>
    <t xml:space="preserve">   DOA (Despesas operacionais e Administrativas)</t>
  </si>
  <si>
    <t xml:space="preserve">   Constituição de Reserva</t>
  </si>
  <si>
    <t>Computação em Nuvem</t>
  </si>
  <si>
    <t xml:space="preserve">   Tarifas Bancárias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</si>
</sst>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R$ -416]#,##0.00"/>
    <numFmt numFmtId="165" formatCode="_-&quot;R$&quot;\ * #,##0.00_-;\-&quot;R$&quot;\ * #,##0.00_-;_-&quot;R$&quot;\ * &quot;-&quot;??_-;_-@"/>
    <numFmt numFmtId="166" formatCode="_-* #,##0.00_-;\-* #,##0.00_-;_-* &quot;-&quot;??_-;_-@"/>
    <numFmt numFmtId="167" formatCode="_-[$R$-416]\ * #,##0.00_-;\-[$R$-416]\ * #,##0.00_-;_-[$R$-416]\ * &quot;-&quot;??_-;_-@"/>
    <numFmt numFmtId="168" formatCode="&quot;R$&quot;\ #,##0.00"/>
    <numFmt numFmtId="169" formatCode="00000"/>
    <numFmt numFmtId="170" formatCode="[$ -416]#,##0.00"/>
  </numFmts>
  <fonts count="66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sz val="10"/>
      <color theme="1"/>
      <name val="Arial"/>
    </font>
    <font>
      <b/>
      <sz val="20"/>
      <color theme="0"/>
      <name val="Calibri"/>
    </font>
    <font>
      <sz val="11"/>
      <color theme="1"/>
      <name val="Arial"/>
    </font>
    <font>
      <b/>
      <sz val="20"/>
      <color rgb="FFFFFFFF"/>
      <name val="Arial"/>
    </font>
    <font>
      <b/>
      <sz val="16"/>
      <color rgb="FF000000"/>
      <name val="Calibri"/>
    </font>
    <font>
      <b/>
      <sz val="14"/>
      <color theme="1"/>
      <name val="Calibri"/>
    </font>
    <font>
      <sz val="16"/>
      <color theme="1"/>
      <name val="Calibri"/>
    </font>
    <font>
      <b/>
      <sz val="14"/>
      <color rgb="FF000000"/>
      <name val="Calibri"/>
    </font>
    <font>
      <b/>
      <sz val="16"/>
      <color theme="1"/>
      <name val="Calibri"/>
    </font>
    <font>
      <b/>
      <sz val="20"/>
      <color rgb="FFFFFFFF"/>
      <name val="Calibri"/>
    </font>
    <font>
      <b/>
      <sz val="11"/>
      <color theme="1"/>
      <name val="Arial"/>
    </font>
    <font>
      <b/>
      <sz val="16"/>
      <color rgb="FF20124D"/>
      <name val="Calibri"/>
    </font>
    <font>
      <b/>
      <sz val="11"/>
      <color rgb="FF000000"/>
      <name val="Calibri"/>
    </font>
    <font>
      <sz val="11"/>
      <color rgb="FF20124D"/>
      <name val="Arial"/>
    </font>
    <font>
      <b/>
      <sz val="14"/>
      <color rgb="FF000000"/>
      <name val="Arial"/>
    </font>
    <font>
      <sz val="15"/>
      <color rgb="FF000000"/>
      <name val="Calibri"/>
    </font>
    <font>
      <sz val="15"/>
      <color theme="1"/>
      <name val="Calibri"/>
    </font>
    <font>
      <sz val="14"/>
      <color theme="1"/>
      <name val="Calibri"/>
    </font>
    <font>
      <b/>
      <sz val="12"/>
      <color theme="1"/>
      <name val="Calibri"/>
    </font>
    <font>
      <b/>
      <sz val="15"/>
      <color rgb="FF000000"/>
      <name val="Calibri"/>
    </font>
    <font>
      <sz val="14"/>
      <color theme="1"/>
      <name val="Arial"/>
    </font>
    <font>
      <sz val="14"/>
      <color rgb="FF000000"/>
      <name val="Arial"/>
    </font>
    <font>
      <i/>
      <sz val="15"/>
      <color rgb="FF000000"/>
      <name val="Calibri"/>
    </font>
    <font>
      <sz val="11"/>
      <color rgb="FF000000"/>
      <name val="Calibri"/>
    </font>
    <font>
      <b/>
      <sz val="14"/>
      <color theme="1"/>
      <name val="Arial"/>
    </font>
    <font>
      <b/>
      <sz val="15"/>
      <color theme="0"/>
      <name val="Calibri"/>
    </font>
    <font>
      <i/>
      <sz val="14"/>
      <color theme="1"/>
      <name val="Calibri"/>
    </font>
    <font>
      <b/>
      <sz val="14"/>
      <color theme="0"/>
      <name val="Calibri"/>
    </font>
    <font>
      <b/>
      <sz val="11"/>
      <color theme="0"/>
      <name val="Calibri"/>
    </font>
    <font>
      <sz val="11"/>
      <color theme="1"/>
      <name val="Ariel"/>
    </font>
    <font>
      <b/>
      <sz val="12"/>
      <color rgb="FF000000"/>
      <name val="Arial"/>
    </font>
    <font>
      <sz val="12"/>
      <color rgb="FF000000"/>
      <name val="Arial"/>
    </font>
    <font>
      <sz val="12"/>
      <color rgb="FF222222"/>
      <name val="Arial"/>
    </font>
    <font>
      <sz val="11"/>
      <color theme="1"/>
      <name val="Calibri"/>
    </font>
    <font>
      <b/>
      <sz val="12"/>
      <color theme="0"/>
      <name val="Arial"/>
    </font>
    <font>
      <sz val="12"/>
      <color theme="1"/>
      <name val="Calibri"/>
    </font>
    <font>
      <b/>
      <sz val="12"/>
      <color theme="1"/>
      <name val="Arial"/>
    </font>
    <font>
      <sz val="12"/>
      <color theme="1"/>
      <name val="Arial"/>
    </font>
    <font>
      <b/>
      <sz val="12"/>
      <color rgb="FFFFFFFF"/>
      <name val="Arial"/>
    </font>
    <font>
      <sz val="11"/>
      <color rgb="FF000000"/>
      <name val="Cambria"/>
    </font>
    <font>
      <b/>
      <sz val="11"/>
      <color rgb="FF000000"/>
      <name val="Cambria"/>
    </font>
    <font>
      <b/>
      <i/>
      <sz val="14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5"/>
      <color rgb="FF000000"/>
      <name val="Calibri"/>
      <family val="2"/>
    </font>
    <font>
      <b/>
      <i/>
      <sz val="15"/>
      <color rgb="FF00000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1"/>
      <color theme="1"/>
      <name val="Calibri"/>
      <scheme val="minor"/>
    </font>
    <font>
      <sz val="15"/>
      <color rgb="FF000000"/>
      <name val="Calibri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222222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theme="7" tint="0.59999389629810485"/>
        <bgColor rgb="FFC5E0B3"/>
      </patternFill>
    </fill>
    <fill>
      <patternFill patternType="solid">
        <fgColor theme="6" tint="0.39997558519241921"/>
        <bgColor rgb="FFD8D8D8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theme="0"/>
      </patternFill>
    </fill>
    <fill>
      <patternFill patternType="solid">
        <fgColor theme="9" tint="0.59999389629810485"/>
        <bgColor rgb="FFF4CC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rgb="FFEAD1DC"/>
      </patternFill>
    </fill>
  </fills>
  <borders count="61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43"/>
    <xf numFmtId="44" fontId="56" fillId="0" borderId="0" applyFont="0" applyFill="0" applyBorder="0" applyAlignment="0" applyProtection="0"/>
    <xf numFmtId="9" fontId="56" fillId="0" borderId="0" applyFont="0" applyFill="0" applyBorder="0" applyAlignment="0" applyProtection="0"/>
  </cellStyleXfs>
  <cellXfs count="377"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8" fillId="2" borderId="4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" fontId="3" fillId="4" borderId="8" xfId="0" applyNumberFormat="1" applyFont="1" applyFill="1" applyBorder="1" applyAlignment="1">
      <alignment horizontal="center" vertical="center"/>
    </xf>
    <xf numFmtId="17" fontId="3" fillId="4" borderId="6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8" fillId="9" borderId="8" xfId="0" applyFont="1" applyFill="1" applyBorder="1" applyAlignment="1">
      <alignment horizontal="center" vertical="center" wrapText="1"/>
    </xf>
    <xf numFmtId="10" fontId="6" fillId="0" borderId="0" xfId="0" applyNumberFormat="1" applyFont="1" applyBorder="1" applyAlignment="1">
      <alignment vertical="center"/>
    </xf>
    <xf numFmtId="14" fontId="3" fillId="5" borderId="12" xfId="0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24" fillId="0" borderId="0" xfId="0" applyFont="1" applyBorder="1" applyAlignment="1">
      <alignment vertical="center"/>
    </xf>
    <xf numFmtId="0" fontId="19" fillId="0" borderId="8" xfId="0" applyFont="1" applyBorder="1" applyAlignment="1">
      <alignment horizontal="left" vertical="center" wrapText="1"/>
    </xf>
    <xf numFmtId="0" fontId="1" fillId="5" borderId="17" xfId="0" applyFont="1" applyFill="1" applyBorder="1"/>
    <xf numFmtId="4" fontId="24" fillId="0" borderId="0" xfId="0" applyNumberFormat="1" applyFont="1" applyBorder="1" applyAlignment="1">
      <alignment vertical="center"/>
    </xf>
    <xf numFmtId="0" fontId="1" fillId="5" borderId="19" xfId="0" applyFont="1" applyFill="1" applyBorder="1" applyAlignment="1">
      <alignment horizontal="center"/>
    </xf>
    <xf numFmtId="10" fontId="14" fillId="0" borderId="0" xfId="0" applyNumberFormat="1" applyFont="1" applyBorder="1" applyAlignment="1">
      <alignment vertical="center"/>
    </xf>
    <xf numFmtId="0" fontId="26" fillId="0" borderId="8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2" borderId="0" xfId="0" applyFont="1" applyFill="1" applyBorder="1"/>
    <xf numFmtId="0" fontId="1" fillId="0" borderId="12" xfId="0" applyFont="1" applyBorder="1" applyAlignment="1">
      <alignment horizontal="center" vertical="center" wrapText="1"/>
    </xf>
    <xf numFmtId="4" fontId="28" fillId="0" borderId="0" xfId="0" applyNumberFormat="1" applyFont="1" applyBorder="1" applyAlignment="1">
      <alignment vertical="center"/>
    </xf>
    <xf numFmtId="0" fontId="26" fillId="0" borderId="8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left" vertical="center" wrapText="1"/>
    </xf>
    <xf numFmtId="167" fontId="1" fillId="0" borderId="15" xfId="0" applyNumberFormat="1" applyFont="1" applyBorder="1" applyAlignment="1">
      <alignment horizontal="center" vertical="center"/>
    </xf>
    <xf numFmtId="167" fontId="1" fillId="2" borderId="12" xfId="0" applyNumberFormat="1" applyFont="1" applyFill="1" applyBorder="1" applyAlignment="1">
      <alignment horizontal="center" vertical="center"/>
    </xf>
    <xf numFmtId="167" fontId="1" fillId="2" borderId="22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0" fontId="27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167" fontId="1" fillId="2" borderId="8" xfId="0" applyNumberFormat="1" applyFont="1" applyFill="1" applyBorder="1" applyAlignment="1">
      <alignment vertical="center"/>
    </xf>
    <xf numFmtId="167" fontId="1" fillId="0" borderId="11" xfId="0" applyNumberFormat="1" applyFont="1" applyBorder="1" applyAlignment="1">
      <alignment horizontal="center" vertical="center"/>
    </xf>
    <xf numFmtId="0" fontId="29" fillId="3" borderId="27" xfId="0" applyFont="1" applyFill="1" applyBorder="1" applyAlignment="1">
      <alignment vertical="center"/>
    </xf>
    <xf numFmtId="10" fontId="29" fillId="3" borderId="29" xfId="0" applyNumberFormat="1" applyFont="1" applyFill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0" fontId="27" fillId="0" borderId="30" xfId="0" applyFont="1" applyBorder="1" applyAlignment="1">
      <alignment horizontal="center"/>
    </xf>
    <xf numFmtId="167" fontId="32" fillId="3" borderId="33" xfId="0" applyNumberFormat="1" applyFont="1" applyFill="1" applyBorder="1" applyAlignment="1">
      <alignment vertical="center"/>
    </xf>
    <xf numFmtId="0" fontId="32" fillId="3" borderId="33" xfId="0" applyFont="1" applyFill="1" applyBorder="1" applyAlignment="1">
      <alignment vertical="center"/>
    </xf>
    <xf numFmtId="167" fontId="32" fillId="3" borderId="34" xfId="0" applyNumberFormat="1" applyFont="1" applyFill="1" applyBorder="1" applyAlignment="1">
      <alignment vertical="center"/>
    </xf>
    <xf numFmtId="167" fontId="32" fillId="3" borderId="33" xfId="0" applyNumberFormat="1" applyFont="1" applyFill="1" applyBorder="1" applyAlignment="1">
      <alignment horizontal="center" vertical="center"/>
    </xf>
    <xf numFmtId="167" fontId="1" fillId="2" borderId="12" xfId="0" applyNumberFormat="1" applyFont="1" applyFill="1" applyBorder="1" applyAlignment="1">
      <alignment vertical="center"/>
    </xf>
    <xf numFmtId="167" fontId="1" fillId="2" borderId="8" xfId="0" applyNumberFormat="1" applyFont="1" applyFill="1" applyBorder="1" applyAlignment="1">
      <alignment horizontal="center" vertical="center"/>
    </xf>
    <xf numFmtId="167" fontId="32" fillId="3" borderId="1" xfId="0" applyNumberFormat="1" applyFont="1" applyFill="1" applyBorder="1" applyAlignment="1">
      <alignment vertical="center"/>
    </xf>
    <xf numFmtId="0" fontId="32" fillId="3" borderId="1" xfId="0" applyFont="1" applyFill="1" applyBorder="1" applyAlignment="1">
      <alignment vertical="center"/>
    </xf>
    <xf numFmtId="167" fontId="32" fillId="3" borderId="1" xfId="0" applyNumberFormat="1" applyFont="1" applyFill="1" applyBorder="1" applyAlignment="1">
      <alignment horizontal="center" vertical="center"/>
    </xf>
    <xf numFmtId="0" fontId="33" fillId="0" borderId="0" xfId="0" applyFont="1" applyBorder="1" applyAlignment="1">
      <alignment vertical="center"/>
    </xf>
    <xf numFmtId="167" fontId="1" fillId="0" borderId="0" xfId="0" applyNumberFormat="1" applyFont="1" applyBorder="1" applyAlignment="1">
      <alignment vertical="center"/>
    </xf>
    <xf numFmtId="4" fontId="33" fillId="0" borderId="0" xfId="0" applyNumberFormat="1" applyFont="1" applyBorder="1" applyAlignment="1">
      <alignment vertical="center"/>
    </xf>
    <xf numFmtId="0" fontId="33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33" fillId="2" borderId="0" xfId="0" applyFont="1" applyFill="1" applyBorder="1" applyAlignment="1">
      <alignment vertical="center"/>
    </xf>
    <xf numFmtId="10" fontId="1" fillId="0" borderId="0" xfId="0" applyNumberFormat="1" applyFont="1" applyBorder="1"/>
    <xf numFmtId="0" fontId="34" fillId="4" borderId="37" xfId="0" applyFont="1" applyFill="1" applyBorder="1" applyAlignment="1">
      <alignment horizontal="center" vertical="center" wrapText="1"/>
    </xf>
    <xf numFmtId="0" fontId="34" fillId="4" borderId="12" xfId="0" applyFont="1" applyFill="1" applyBorder="1" applyAlignment="1">
      <alignment horizontal="center" vertical="center"/>
    </xf>
    <xf numFmtId="0" fontId="34" fillId="4" borderId="12" xfId="0" applyFont="1" applyFill="1" applyBorder="1" applyAlignment="1">
      <alignment horizontal="center" vertical="center" wrapText="1"/>
    </xf>
    <xf numFmtId="0" fontId="34" fillId="4" borderId="8" xfId="0" applyFont="1" applyFill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17" fontId="35" fillId="0" borderId="8" xfId="0" applyNumberFormat="1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4" fontId="1" fillId="0" borderId="0" xfId="0" applyNumberFormat="1" applyFont="1" applyBorder="1"/>
    <xf numFmtId="10" fontId="43" fillId="0" borderId="8" xfId="0" applyNumberFormat="1" applyFont="1" applyBorder="1" applyAlignment="1">
      <alignment horizontal="center" wrapText="1"/>
    </xf>
    <xf numFmtId="10" fontId="43" fillId="0" borderId="0" xfId="0" applyNumberFormat="1" applyFont="1" applyBorder="1" applyAlignment="1">
      <alignment horizontal="center" wrapText="1"/>
    </xf>
    <xf numFmtId="10" fontId="43" fillId="2" borderId="0" xfId="0" applyNumberFormat="1" applyFont="1" applyFill="1" applyBorder="1" applyAlignment="1">
      <alignment horizontal="center" wrapText="1"/>
    </xf>
    <xf numFmtId="4" fontId="44" fillId="0" borderId="8" xfId="0" applyNumberFormat="1" applyFont="1" applyBorder="1" applyAlignment="1">
      <alignment horizontal="center" wrapText="1"/>
    </xf>
    <xf numFmtId="4" fontId="44" fillId="0" borderId="0" xfId="0" applyNumberFormat="1" applyFont="1" applyBorder="1" applyAlignment="1">
      <alignment horizontal="center" wrapText="1"/>
    </xf>
    <xf numFmtId="0" fontId="21" fillId="0" borderId="0" xfId="0" applyFont="1" applyBorder="1" applyAlignment="1">
      <alignment vertical="center"/>
    </xf>
    <xf numFmtId="0" fontId="9" fillId="9" borderId="23" xfId="0" applyFont="1" applyFill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9" fillId="9" borderId="39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9" fillId="13" borderId="25" xfId="0" applyFont="1" applyFill="1" applyBorder="1" applyAlignment="1">
      <alignment horizontal="center" vertical="center" wrapText="1"/>
    </xf>
    <xf numFmtId="0" fontId="9" fillId="13" borderId="39" xfId="0" applyFont="1" applyFill="1" applyBorder="1" applyAlignment="1">
      <alignment horizontal="center" vertical="center" wrapText="1"/>
    </xf>
    <xf numFmtId="10" fontId="21" fillId="0" borderId="40" xfId="0" applyNumberFormat="1" applyFont="1" applyBorder="1" applyAlignment="1">
      <alignment horizontal="center" vertical="center" wrapText="1"/>
    </xf>
    <xf numFmtId="10" fontId="21" fillId="0" borderId="0" xfId="0" applyNumberFormat="1" applyFont="1" applyBorder="1" applyAlignment="1">
      <alignment vertical="center"/>
    </xf>
    <xf numFmtId="0" fontId="21" fillId="6" borderId="23" xfId="0" applyFont="1" applyFill="1" applyBorder="1" applyAlignment="1">
      <alignment horizontal="left" vertical="center" wrapText="1"/>
    </xf>
    <xf numFmtId="10" fontId="21" fillId="6" borderId="41" xfId="0" applyNumberFormat="1" applyFont="1" applyFill="1" applyBorder="1" applyAlignment="1">
      <alignment horizontal="center" vertical="center" wrapText="1"/>
    </xf>
    <xf numFmtId="10" fontId="21" fillId="6" borderId="1" xfId="0" applyNumberFormat="1" applyFont="1" applyFill="1" applyBorder="1" applyAlignment="1">
      <alignment vertical="center"/>
    </xf>
    <xf numFmtId="0" fontId="21" fillId="6" borderId="42" xfId="0" applyFont="1" applyFill="1" applyBorder="1" applyAlignment="1">
      <alignment vertical="center"/>
    </xf>
    <xf numFmtId="0" fontId="21" fillId="6" borderId="43" xfId="0" applyFont="1" applyFill="1" applyAlignment="1">
      <alignment vertical="center"/>
    </xf>
    <xf numFmtId="0" fontId="1" fillId="6" borderId="1" xfId="0" applyFont="1" applyFill="1" applyBorder="1" applyAlignment="1">
      <alignment vertical="center"/>
    </xf>
    <xf numFmtId="0" fontId="9" fillId="12" borderId="23" xfId="0" applyFont="1" applyFill="1" applyBorder="1" applyAlignment="1">
      <alignment horizontal="left" vertical="center" wrapText="1"/>
    </xf>
    <xf numFmtId="10" fontId="9" fillId="12" borderId="41" xfId="0" applyNumberFormat="1" applyFont="1" applyFill="1" applyBorder="1" applyAlignment="1">
      <alignment horizontal="center" vertical="center" wrapText="1"/>
    </xf>
    <xf numFmtId="10" fontId="9" fillId="0" borderId="0" xfId="0" applyNumberFormat="1" applyFont="1" applyBorder="1" applyAlignment="1">
      <alignment vertical="center"/>
    </xf>
    <xf numFmtId="0" fontId="30" fillId="0" borderId="20" xfId="0" applyFont="1" applyBorder="1" applyAlignment="1">
      <alignment horizontal="left" vertical="center" wrapText="1"/>
    </xf>
    <xf numFmtId="0" fontId="45" fillId="12" borderId="23" xfId="0" applyFont="1" applyFill="1" applyBorder="1" applyAlignment="1">
      <alignment horizontal="left" vertical="center" wrapText="1"/>
    </xf>
    <xf numFmtId="10" fontId="45" fillId="12" borderId="41" xfId="0" applyNumberFormat="1" applyFont="1" applyFill="1" applyBorder="1" applyAlignment="1">
      <alignment horizontal="center" vertical="center" wrapText="1"/>
    </xf>
    <xf numFmtId="10" fontId="21" fillId="0" borderId="18" xfId="0" applyNumberFormat="1" applyFont="1" applyBorder="1" applyAlignment="1">
      <alignment horizontal="center" vertical="center" wrapText="1"/>
    </xf>
    <xf numFmtId="0" fontId="9" fillId="4" borderId="16" xfId="0" applyFont="1" applyFill="1" applyBorder="1" applyAlignment="1">
      <alignment vertical="center"/>
    </xf>
    <xf numFmtId="10" fontId="9" fillId="4" borderId="18" xfId="0" applyNumberFormat="1" applyFont="1" applyFill="1" applyBorder="1" applyAlignment="1">
      <alignment horizontal="right" vertical="center"/>
    </xf>
    <xf numFmtId="10" fontId="9" fillId="4" borderId="18" xfId="0" applyNumberFormat="1" applyFont="1" applyFill="1" applyBorder="1" applyAlignment="1">
      <alignment horizontal="center" vertical="center"/>
    </xf>
    <xf numFmtId="10" fontId="21" fillId="0" borderId="18" xfId="0" applyNumberFormat="1" applyFont="1" applyBorder="1" applyAlignment="1">
      <alignment vertical="center"/>
    </xf>
    <xf numFmtId="10" fontId="21" fillId="0" borderId="18" xfId="0" applyNumberFormat="1" applyFont="1" applyBorder="1" applyAlignment="1">
      <alignment horizontal="center" vertical="center"/>
    </xf>
    <xf numFmtId="0" fontId="9" fillId="4" borderId="35" xfId="0" applyFont="1" applyFill="1" applyBorder="1" applyAlignment="1">
      <alignment vertical="center"/>
    </xf>
    <xf numFmtId="10" fontId="9" fillId="4" borderId="36" xfId="0" applyNumberFormat="1" applyFont="1" applyFill="1" applyBorder="1" applyAlignment="1">
      <alignment vertical="center"/>
    </xf>
    <xf numFmtId="10" fontId="9" fillId="4" borderId="36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12" fillId="5" borderId="44" xfId="0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left" vertical="center" wrapText="1"/>
    </xf>
    <xf numFmtId="0" fontId="21" fillId="6" borderId="45" xfId="0" applyFont="1" applyFill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left" vertical="center" wrapText="1"/>
    </xf>
    <xf numFmtId="167" fontId="24" fillId="0" borderId="44" xfId="0" applyNumberFormat="1" applyFont="1" applyBorder="1" applyAlignment="1">
      <alignment vertical="center"/>
    </xf>
    <xf numFmtId="0" fontId="9" fillId="9" borderId="44" xfId="0" applyFont="1" applyFill="1" applyBorder="1" applyAlignment="1">
      <alignment horizontal="center" vertical="center" wrapText="1"/>
    </xf>
    <xf numFmtId="10" fontId="21" fillId="0" borderId="41" xfId="0" applyNumberFormat="1" applyFont="1" applyBorder="1" applyAlignment="1">
      <alignment horizontal="center" vertical="center" wrapText="1"/>
    </xf>
    <xf numFmtId="0" fontId="21" fillId="0" borderId="44" xfId="0" applyFont="1" applyBorder="1" applyAlignment="1">
      <alignment horizontal="left" vertical="center" wrapText="1"/>
    </xf>
    <xf numFmtId="10" fontId="21" fillId="0" borderId="44" xfId="0" applyNumberFormat="1" applyFont="1" applyBorder="1" applyAlignment="1">
      <alignment horizontal="center" vertical="center" wrapText="1"/>
    </xf>
    <xf numFmtId="0" fontId="21" fillId="0" borderId="44" xfId="0" applyFont="1" applyBorder="1" applyAlignment="1">
      <alignment vertical="center" wrapText="1"/>
    </xf>
    <xf numFmtId="0" fontId="21" fillId="6" borderId="44" xfId="0" applyFont="1" applyFill="1" applyBorder="1" applyAlignment="1">
      <alignment horizontal="left" vertical="center" wrapText="1"/>
    </xf>
    <xf numFmtId="0" fontId="21" fillId="0" borderId="44" xfId="0" applyFont="1" applyBorder="1" applyAlignment="1">
      <alignment vertical="center"/>
    </xf>
    <xf numFmtId="0" fontId="31" fillId="3" borderId="44" xfId="0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 vertical="center" wrapText="1"/>
    </xf>
    <xf numFmtId="0" fontId="46" fillId="0" borderId="12" xfId="0" applyFont="1" applyBorder="1" applyAlignment="1">
      <alignment horizontal="center" vertical="center"/>
    </xf>
    <xf numFmtId="0" fontId="9" fillId="13" borderId="44" xfId="0" applyFont="1" applyFill="1" applyBorder="1" applyAlignment="1">
      <alignment horizontal="center" vertical="center" wrapText="1"/>
    </xf>
    <xf numFmtId="167" fontId="1" fillId="0" borderId="0" xfId="0" applyNumberFormat="1" applyFont="1" applyBorder="1"/>
    <xf numFmtId="0" fontId="1" fillId="0" borderId="0" xfId="0" applyFont="1" applyBorder="1"/>
    <xf numFmtId="0" fontId="0" fillId="0" borderId="0" xfId="0" applyBorder="1"/>
    <xf numFmtId="0" fontId="0" fillId="0" borderId="44" xfId="0" applyBorder="1"/>
    <xf numFmtId="0" fontId="11" fillId="4" borderId="44" xfId="0" applyFont="1" applyFill="1" applyBorder="1" applyAlignment="1">
      <alignment horizontal="center" vertical="center" wrapText="1"/>
    </xf>
    <xf numFmtId="0" fontId="11" fillId="4" borderId="44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/>
    </xf>
    <xf numFmtId="0" fontId="16" fillId="0" borderId="44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wrapText="1"/>
    </xf>
    <xf numFmtId="0" fontId="48" fillId="0" borderId="44" xfId="0" applyFont="1" applyBorder="1" applyAlignment="1">
      <alignment horizontal="left" vertical="center" wrapText="1"/>
    </xf>
    <xf numFmtId="0" fontId="1" fillId="0" borderId="43" xfId="0" applyFont="1"/>
    <xf numFmtId="0" fontId="1" fillId="0" borderId="44" xfId="0" applyFont="1" applyBorder="1"/>
    <xf numFmtId="0" fontId="40" fillId="4" borderId="44" xfId="0" applyFont="1" applyFill="1" applyBorder="1" applyAlignment="1">
      <alignment horizontal="center" wrapText="1"/>
    </xf>
    <xf numFmtId="0" fontId="40" fillId="4" borderId="44" xfId="0" applyFont="1" applyFill="1" applyBorder="1" applyAlignment="1">
      <alignment horizontal="center"/>
    </xf>
    <xf numFmtId="0" fontId="40" fillId="4" borderId="44" xfId="0" applyFont="1" applyFill="1" applyBorder="1" applyAlignment="1">
      <alignment horizontal="center" vertical="center"/>
    </xf>
    <xf numFmtId="0" fontId="40" fillId="0" borderId="44" xfId="0" applyFont="1" applyBorder="1" applyAlignment="1">
      <alignment horizontal="center" wrapText="1"/>
    </xf>
    <xf numFmtId="17" fontId="41" fillId="0" borderId="44" xfId="0" applyNumberFormat="1" applyFont="1" applyBorder="1" applyAlignment="1">
      <alignment horizontal="center"/>
    </xf>
    <xf numFmtId="49" fontId="50" fillId="0" borderId="44" xfId="0" applyNumberFormat="1" applyFont="1" applyBorder="1" applyAlignment="1">
      <alignment horizontal="center"/>
    </xf>
    <xf numFmtId="0" fontId="41" fillId="0" borderId="44" xfId="0" applyFont="1" applyBorder="1" applyAlignment="1">
      <alignment horizontal="center"/>
    </xf>
    <xf numFmtId="14" fontId="41" fillId="0" borderId="44" xfId="0" applyNumberFormat="1" applyFont="1" applyBorder="1" applyAlignment="1">
      <alignment horizontal="center"/>
    </xf>
    <xf numFmtId="0" fontId="36" fillId="0" borderId="44" xfId="0" applyFont="1" applyBorder="1" applyAlignment="1">
      <alignment horizontal="center"/>
    </xf>
    <xf numFmtId="0" fontId="36" fillId="2" borderId="44" xfId="0" applyFont="1" applyFill="1" applyBorder="1" applyAlignment="1">
      <alignment horizontal="center"/>
    </xf>
    <xf numFmtId="0" fontId="1" fillId="2" borderId="44" xfId="0" applyFont="1" applyFill="1" applyBorder="1"/>
    <xf numFmtId="14" fontId="1" fillId="2" borderId="44" xfId="0" applyNumberFormat="1" applyFont="1" applyFill="1" applyBorder="1"/>
    <xf numFmtId="14" fontId="1" fillId="0" borderId="44" xfId="0" applyNumberFormat="1" applyFont="1" applyBorder="1"/>
    <xf numFmtId="0" fontId="35" fillId="2" borderId="44" xfId="0" applyFont="1" applyFill="1" applyBorder="1" applyAlignment="1">
      <alignment horizontal="center" vertical="center"/>
    </xf>
    <xf numFmtId="0" fontId="51" fillId="0" borderId="8" xfId="0" applyFont="1" applyBorder="1" applyAlignment="1">
      <alignment horizontal="left" vertical="center" wrapText="1"/>
    </xf>
    <xf numFmtId="0" fontId="1" fillId="0" borderId="43" xfId="0" applyFont="1" applyAlignment="1">
      <alignment vertical="center"/>
    </xf>
    <xf numFmtId="0" fontId="33" fillId="0" borderId="43" xfId="0" applyFont="1" applyAlignment="1">
      <alignment vertical="center"/>
    </xf>
    <xf numFmtId="0" fontId="33" fillId="2" borderId="43" xfId="0" applyFont="1" applyFill="1" applyAlignment="1">
      <alignment vertical="center"/>
    </xf>
    <xf numFmtId="0" fontId="0" fillId="0" borderId="43" xfId="0"/>
    <xf numFmtId="10" fontId="53" fillId="0" borderId="44" xfId="0" applyNumberFormat="1" applyFont="1" applyBorder="1" applyAlignment="1">
      <alignment horizontal="center" vertical="center"/>
    </xf>
    <xf numFmtId="10" fontId="54" fillId="11" borderId="44" xfId="0" applyNumberFormat="1" applyFont="1" applyFill="1" applyBorder="1" applyAlignment="1">
      <alignment horizontal="center" vertical="center"/>
    </xf>
    <xf numFmtId="10" fontId="55" fillId="3" borderId="44" xfId="0" applyNumberFormat="1" applyFont="1" applyFill="1" applyBorder="1" applyAlignment="1">
      <alignment horizontal="center" vertical="center"/>
    </xf>
    <xf numFmtId="0" fontId="9" fillId="15" borderId="44" xfId="0" applyFont="1" applyFill="1" applyBorder="1" applyAlignment="1">
      <alignment horizontal="center" vertical="center"/>
    </xf>
    <xf numFmtId="0" fontId="54" fillId="15" borderId="44" xfId="0" applyFont="1" applyFill="1" applyBorder="1" applyAlignment="1">
      <alignment horizontal="center" vertical="center" wrapText="1"/>
    </xf>
    <xf numFmtId="0" fontId="9" fillId="15" borderId="44" xfId="0" applyFont="1" applyFill="1" applyBorder="1" applyAlignment="1">
      <alignment horizontal="center" vertical="center" wrapText="1"/>
    </xf>
    <xf numFmtId="0" fontId="9" fillId="15" borderId="44" xfId="0" applyFont="1" applyFill="1" applyBorder="1" applyAlignment="1">
      <alignment vertical="center"/>
    </xf>
    <xf numFmtId="10" fontId="54" fillId="15" borderId="44" xfId="0" applyNumberFormat="1" applyFont="1" applyFill="1" applyBorder="1" applyAlignment="1">
      <alignment horizontal="center" vertical="center"/>
    </xf>
    <xf numFmtId="0" fontId="30" fillId="15" borderId="44" xfId="0" applyFont="1" applyFill="1" applyBorder="1" applyAlignment="1">
      <alignment vertical="center" wrapText="1"/>
    </xf>
    <xf numFmtId="164" fontId="20" fillId="0" borderId="8" xfId="0" applyNumberFormat="1" applyFont="1" applyBorder="1" applyAlignment="1">
      <alignment horizontal="center" vertical="center"/>
    </xf>
    <xf numFmtId="165" fontId="6" fillId="0" borderId="0" xfId="0" applyNumberFormat="1" applyFont="1" applyBorder="1" applyAlignment="1">
      <alignment vertical="center"/>
    </xf>
    <xf numFmtId="166" fontId="24" fillId="0" borderId="0" xfId="0" applyNumberFormat="1" applyFont="1" applyBorder="1" applyAlignment="1">
      <alignment horizontal="center" vertical="center" wrapText="1"/>
    </xf>
    <xf numFmtId="166" fontId="25" fillId="0" borderId="0" xfId="0" applyNumberFormat="1" applyFont="1" applyBorder="1" applyAlignment="1">
      <alignment horizontal="center" vertical="center" wrapText="1"/>
    </xf>
    <xf numFmtId="165" fontId="14" fillId="0" borderId="0" xfId="0" applyNumberFormat="1" applyFont="1" applyBorder="1" applyAlignment="1">
      <alignment vertical="center"/>
    </xf>
    <xf numFmtId="164" fontId="19" fillId="0" borderId="8" xfId="0" applyNumberFormat="1" applyFont="1" applyBorder="1" applyAlignment="1">
      <alignment horizontal="center" vertical="center" wrapText="1"/>
    </xf>
    <xf numFmtId="166" fontId="6" fillId="0" borderId="0" xfId="0" applyNumberFormat="1" applyFont="1" applyBorder="1" applyAlignment="1">
      <alignment vertical="center"/>
    </xf>
    <xf numFmtId="164" fontId="20" fillId="2" borderId="8" xfId="0" applyNumberFormat="1" applyFont="1" applyFill="1" applyBorder="1" applyAlignment="1">
      <alignment horizontal="center"/>
    </xf>
    <xf numFmtId="164" fontId="20" fillId="2" borderId="13" xfId="0" applyNumberFormat="1" applyFont="1" applyFill="1" applyBorder="1" applyAlignment="1">
      <alignment horizontal="center"/>
    </xf>
    <xf numFmtId="164" fontId="29" fillId="3" borderId="28" xfId="0" applyNumberFormat="1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vertical="center"/>
    </xf>
    <xf numFmtId="170" fontId="53" fillId="2" borderId="44" xfId="0" applyNumberFormat="1" applyFont="1" applyFill="1" applyBorder="1" applyAlignment="1">
      <alignment horizontal="center" vertical="center"/>
    </xf>
    <xf numFmtId="170" fontId="53" fillId="0" borderId="44" xfId="0" applyNumberFormat="1" applyFont="1" applyBorder="1" applyAlignment="1">
      <alignment horizontal="center" vertical="center"/>
    </xf>
    <xf numFmtId="164" fontId="53" fillId="0" borderId="44" xfId="0" applyNumberFormat="1" applyFont="1" applyBorder="1" applyAlignment="1">
      <alignment horizontal="center" vertical="center"/>
    </xf>
    <xf numFmtId="165" fontId="54" fillId="11" borderId="44" xfId="0" applyNumberFormat="1" applyFont="1" applyFill="1" applyBorder="1" applyAlignment="1">
      <alignment horizontal="center" vertical="center"/>
    </xf>
    <xf numFmtId="170" fontId="54" fillId="15" borderId="44" xfId="0" applyNumberFormat="1" applyFont="1" applyFill="1" applyBorder="1" applyAlignment="1">
      <alignment horizontal="center" vertical="center"/>
    </xf>
    <xf numFmtId="164" fontId="54" fillId="15" borderId="44" xfId="0" applyNumberFormat="1" applyFont="1" applyFill="1" applyBorder="1" applyAlignment="1">
      <alignment horizontal="center" vertical="center"/>
    </xf>
    <xf numFmtId="165" fontId="54" fillId="15" borderId="44" xfId="0" applyNumberFormat="1" applyFont="1" applyFill="1" applyBorder="1" applyAlignment="1">
      <alignment horizontal="center" vertical="center"/>
    </xf>
    <xf numFmtId="164" fontId="53" fillId="2" borderId="44" xfId="0" applyNumberFormat="1" applyFont="1" applyFill="1" applyBorder="1" applyAlignment="1">
      <alignment horizontal="center" vertical="center"/>
    </xf>
    <xf numFmtId="165" fontId="55" fillId="3" borderId="44" xfId="0" applyNumberFormat="1" applyFont="1" applyFill="1" applyBorder="1" applyAlignment="1">
      <alignment horizontal="center" vertical="center"/>
    </xf>
    <xf numFmtId="168" fontId="33" fillId="2" borderId="0" xfId="0" applyNumberFormat="1" applyFont="1" applyFill="1" applyBorder="1" applyAlignment="1">
      <alignment vertical="center"/>
    </xf>
    <xf numFmtId="168" fontId="33" fillId="2" borderId="43" xfId="0" applyNumberFormat="1" applyFont="1" applyFill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6" fillId="2" borderId="43" xfId="0" applyNumberFormat="1" applyFont="1" applyFill="1" applyAlignment="1">
      <alignment vertical="center"/>
    </xf>
    <xf numFmtId="164" fontId="6" fillId="2" borderId="0" xfId="0" applyNumberFormat="1" applyFont="1" applyFill="1" applyBorder="1" applyAlignment="1">
      <alignment horizontal="right" vertical="center"/>
    </xf>
    <xf numFmtId="164" fontId="6" fillId="2" borderId="43" xfId="0" applyNumberFormat="1" applyFont="1" applyFill="1" applyAlignment="1">
      <alignment horizontal="right" vertical="center"/>
    </xf>
    <xf numFmtId="165" fontId="6" fillId="2" borderId="0" xfId="0" applyNumberFormat="1" applyFont="1" applyFill="1" applyBorder="1" applyAlignment="1">
      <alignment vertical="center"/>
    </xf>
    <xf numFmtId="164" fontId="33" fillId="2" borderId="0" xfId="0" applyNumberFormat="1" applyFont="1" applyFill="1" applyBorder="1" applyAlignment="1">
      <alignment horizontal="right" vertical="center"/>
    </xf>
    <xf numFmtId="164" fontId="33" fillId="2" borderId="43" xfId="0" applyNumberFormat="1" applyFont="1" applyFill="1" applyAlignment="1">
      <alignment horizontal="right" vertical="center"/>
    </xf>
    <xf numFmtId="165" fontId="33" fillId="2" borderId="0" xfId="0" applyNumberFormat="1" applyFont="1" applyFill="1" applyBorder="1" applyAlignment="1">
      <alignment vertical="center"/>
    </xf>
    <xf numFmtId="164" fontId="33" fillId="2" borderId="0" xfId="0" applyNumberFormat="1" applyFont="1" applyFill="1" applyBorder="1" applyAlignment="1">
      <alignment vertical="center"/>
    </xf>
    <xf numFmtId="164" fontId="33" fillId="2" borderId="43" xfId="0" applyNumberFormat="1" applyFont="1" applyFill="1" applyAlignment="1">
      <alignment vertical="center"/>
    </xf>
    <xf numFmtId="165" fontId="6" fillId="2" borderId="43" xfId="0" applyNumberFormat="1" applyFont="1" applyFill="1" applyAlignment="1">
      <alignment vertical="center"/>
    </xf>
    <xf numFmtId="164" fontId="1" fillId="0" borderId="0" xfId="0" applyNumberFormat="1" applyFont="1" applyBorder="1"/>
    <xf numFmtId="165" fontId="1" fillId="0" borderId="0" xfId="0" applyNumberFormat="1" applyFont="1" applyBorder="1"/>
    <xf numFmtId="164" fontId="1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right"/>
    </xf>
    <xf numFmtId="164" fontId="1" fillId="0" borderId="0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right"/>
    </xf>
    <xf numFmtId="165" fontId="1" fillId="0" borderId="0" xfId="0" applyNumberFormat="1" applyFont="1" applyBorder="1" applyAlignment="1">
      <alignment horizontal="center" vertical="center"/>
    </xf>
    <xf numFmtId="165" fontId="35" fillId="0" borderId="8" xfId="0" applyNumberFormat="1" applyFont="1" applyBorder="1" applyAlignment="1">
      <alignment horizontal="center" vertical="center"/>
    </xf>
    <xf numFmtId="8" fontId="38" fillId="3" borderId="8" xfId="0" applyNumberFormat="1" applyFont="1" applyFill="1" applyBorder="1" applyAlignment="1">
      <alignment horizontal="center" vertical="center"/>
    </xf>
    <xf numFmtId="165" fontId="38" fillId="3" borderId="8" xfId="0" applyNumberFormat="1" applyFont="1" applyFill="1" applyBorder="1" applyAlignment="1">
      <alignment horizontal="center" vertical="center"/>
    </xf>
    <xf numFmtId="164" fontId="39" fillId="0" borderId="0" xfId="0" applyNumberFormat="1" applyFont="1" applyBorder="1" applyAlignment="1">
      <alignment horizontal="right"/>
    </xf>
    <xf numFmtId="165" fontId="41" fillId="0" borderId="44" xfId="0" applyNumberFormat="1" applyFont="1" applyBorder="1" applyAlignment="1">
      <alignment horizontal="center"/>
    </xf>
    <xf numFmtId="165" fontId="36" fillId="0" borderId="44" xfId="0" applyNumberFormat="1" applyFont="1" applyBorder="1" applyAlignment="1">
      <alignment horizontal="center"/>
    </xf>
    <xf numFmtId="165" fontId="41" fillId="2" borderId="44" xfId="0" applyNumberFormat="1" applyFont="1" applyFill="1" applyBorder="1" applyAlignment="1">
      <alignment horizontal="center"/>
    </xf>
    <xf numFmtId="165" fontId="36" fillId="2" borderId="44" xfId="0" applyNumberFormat="1" applyFont="1" applyFill="1" applyBorder="1" applyAlignment="1">
      <alignment horizontal="center"/>
    </xf>
    <xf numFmtId="165" fontId="42" fillId="3" borderId="44" xfId="0" applyNumberFormat="1" applyFont="1" applyFill="1" applyBorder="1" applyAlignment="1">
      <alignment horizontal="center"/>
    </xf>
    <xf numFmtId="164" fontId="43" fillId="0" borderId="8" xfId="0" applyNumberFormat="1" applyFont="1" applyBorder="1" applyAlignment="1">
      <alignment horizontal="center" wrapText="1"/>
    </xf>
    <xf numFmtId="164" fontId="43" fillId="0" borderId="0" xfId="0" applyNumberFormat="1" applyFont="1" applyBorder="1" applyAlignment="1">
      <alignment horizontal="center" wrapText="1"/>
    </xf>
    <xf numFmtId="164" fontId="1" fillId="0" borderId="0" xfId="0" applyNumberFormat="1" applyFont="1" applyBorder="1" applyAlignment="1">
      <alignment horizontal="left"/>
    </xf>
    <xf numFmtId="164" fontId="43" fillId="2" borderId="0" xfId="0" applyNumberFormat="1" applyFont="1" applyFill="1" applyBorder="1" applyAlignment="1">
      <alignment horizontal="center" wrapText="1"/>
    </xf>
    <xf numFmtId="164" fontId="1" fillId="0" borderId="12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vertical="center"/>
    </xf>
    <xf numFmtId="164" fontId="1" fillId="0" borderId="15" xfId="0" applyNumberFormat="1" applyFont="1" applyBorder="1" applyAlignment="1">
      <alignment horizontal="center" vertical="center"/>
    </xf>
    <xf numFmtId="164" fontId="6" fillId="2" borderId="25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vertical="center"/>
    </xf>
    <xf numFmtId="164" fontId="1" fillId="0" borderId="11" xfId="0" applyNumberFormat="1" applyFont="1" applyBorder="1" applyAlignment="1">
      <alignment horizontal="center" vertical="center"/>
    </xf>
    <xf numFmtId="164" fontId="3" fillId="2" borderId="25" xfId="0" applyNumberFormat="1" applyFont="1" applyFill="1" applyBorder="1" applyAlignment="1">
      <alignment horizontal="center" vertical="center"/>
    </xf>
    <xf numFmtId="164" fontId="32" fillId="3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Border="1" applyAlignment="1">
      <alignment vertical="center"/>
    </xf>
    <xf numFmtId="165" fontId="21" fillId="0" borderId="44" xfId="0" applyNumberFormat="1" applyFont="1" applyBorder="1" applyAlignment="1">
      <alignment horizontal="center" vertical="center"/>
    </xf>
    <xf numFmtId="164" fontId="21" fillId="0" borderId="21" xfId="0" applyNumberFormat="1" applyFont="1" applyBorder="1" applyAlignment="1">
      <alignment horizontal="center" vertical="center"/>
    </xf>
    <xf numFmtId="165" fontId="21" fillId="0" borderId="46" xfId="0" applyNumberFormat="1" applyFont="1" applyBorder="1" applyAlignment="1">
      <alignment horizontal="center" vertical="center"/>
    </xf>
    <xf numFmtId="165" fontId="9" fillId="12" borderId="21" xfId="0" applyNumberFormat="1" applyFont="1" applyFill="1" applyBorder="1" applyAlignment="1">
      <alignment horizontal="center" vertical="center"/>
    </xf>
    <xf numFmtId="164" fontId="9" fillId="12" borderId="21" xfId="0" applyNumberFormat="1" applyFont="1" applyFill="1" applyBorder="1" applyAlignment="1">
      <alignment horizontal="center" vertical="center"/>
    </xf>
    <xf numFmtId="165" fontId="21" fillId="2" borderId="21" xfId="0" applyNumberFormat="1" applyFont="1" applyFill="1" applyBorder="1" applyAlignment="1">
      <alignment horizontal="center" vertical="center"/>
    </xf>
    <xf numFmtId="164" fontId="21" fillId="0" borderId="40" xfId="0" applyNumberFormat="1" applyFont="1" applyBorder="1" applyAlignment="1">
      <alignment horizontal="center" vertical="center" wrapText="1"/>
    </xf>
    <xf numFmtId="165" fontId="21" fillId="0" borderId="21" xfId="0" applyNumberFormat="1" applyFont="1" applyBorder="1" applyAlignment="1">
      <alignment horizontal="center" vertical="center"/>
    </xf>
    <xf numFmtId="165" fontId="45" fillId="12" borderId="21" xfId="0" applyNumberFormat="1" applyFont="1" applyFill="1" applyBorder="1" applyAlignment="1">
      <alignment horizontal="center" vertical="center"/>
    </xf>
    <xf numFmtId="164" fontId="9" fillId="4" borderId="8" xfId="0" applyNumberFormat="1" applyFont="1" applyFill="1" applyBorder="1" applyAlignment="1">
      <alignment horizontal="center" vertical="center"/>
    </xf>
    <xf numFmtId="164" fontId="9" fillId="4" borderId="14" xfId="0" applyNumberFormat="1" applyFont="1" applyFill="1" applyBorder="1" applyAlignment="1">
      <alignment vertical="center"/>
    </xf>
    <xf numFmtId="164" fontId="9" fillId="4" borderId="14" xfId="0" applyNumberFormat="1" applyFont="1" applyFill="1" applyBorder="1" applyAlignment="1">
      <alignment horizontal="center" vertical="center"/>
    </xf>
    <xf numFmtId="165" fontId="21" fillId="6" borderId="21" xfId="0" applyNumberFormat="1" applyFont="1" applyFill="1" applyBorder="1" applyAlignment="1">
      <alignment horizontal="center" vertical="center"/>
    </xf>
    <xf numFmtId="170" fontId="55" fillId="3" borderId="44" xfId="0" applyNumberFormat="1" applyFont="1" applyFill="1" applyBorder="1" applyAlignment="1">
      <alignment horizontal="center" vertical="center"/>
    </xf>
    <xf numFmtId="0" fontId="13" fillId="3" borderId="47" xfId="0" applyFont="1" applyFill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8" fillId="8" borderId="8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9" xfId="0" applyBorder="1"/>
    <xf numFmtId="0" fontId="8" fillId="2" borderId="10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5" fillId="7" borderId="8" xfId="0" applyFont="1" applyFill="1" applyBorder="1" applyAlignment="1">
      <alignment horizontal="center" vertical="center"/>
    </xf>
    <xf numFmtId="0" fontId="12" fillId="14" borderId="44" xfId="0" applyFont="1" applyFill="1" applyBorder="1" applyAlignment="1">
      <alignment horizontal="center" vertical="center"/>
    </xf>
    <xf numFmtId="0" fontId="0" fillId="0" borderId="54" xfId="0" applyBorder="1"/>
    <xf numFmtId="0" fontId="5" fillId="3" borderId="44" xfId="0" applyFont="1" applyFill="1" applyBorder="1" applyAlignment="1">
      <alignment horizontal="center" vertical="center" wrapText="1"/>
    </xf>
    <xf numFmtId="0" fontId="0" fillId="0" borderId="53" xfId="0" applyBorder="1"/>
    <xf numFmtId="0" fontId="9" fillId="15" borderId="44" xfId="0" applyFont="1" applyFill="1" applyBorder="1" applyAlignment="1">
      <alignment horizontal="center" vertical="center" wrapText="1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12" fillId="5" borderId="44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 wrapText="1"/>
    </xf>
    <xf numFmtId="0" fontId="38" fillId="3" borderId="8" xfId="0" applyFont="1" applyFill="1" applyBorder="1" applyAlignment="1">
      <alignment horizontal="center" vertical="center" wrapText="1"/>
    </xf>
    <xf numFmtId="0" fontId="1" fillId="0" borderId="43" xfId="0" applyFont="1" applyAlignment="1">
      <alignment horizontal="center"/>
    </xf>
    <xf numFmtId="0" fontId="0" fillId="0" borderId="0" xfId="0" applyBorder="1"/>
    <xf numFmtId="0" fontId="11" fillId="4" borderId="44" xfId="0" applyFont="1" applyFill="1" applyBorder="1" applyAlignment="1">
      <alignment horizontal="center" vertical="center" wrapText="1"/>
    </xf>
    <xf numFmtId="0" fontId="28" fillId="4" borderId="44" xfId="0" applyFont="1" applyFill="1" applyBorder="1" applyAlignment="1">
      <alignment horizontal="center" wrapText="1"/>
    </xf>
    <xf numFmtId="0" fontId="32" fillId="3" borderId="44" xfId="0" applyFont="1" applyFill="1" applyBorder="1" applyAlignment="1">
      <alignment horizontal="center" vertical="center" wrapText="1"/>
    </xf>
    <xf numFmtId="0" fontId="46" fillId="0" borderId="8" xfId="0" applyFont="1" applyBorder="1" applyAlignment="1">
      <alignment horizontal="center"/>
    </xf>
    <xf numFmtId="0" fontId="42" fillId="3" borderId="44" xfId="0" applyFont="1" applyFill="1" applyBorder="1" applyAlignment="1">
      <alignment horizontal="center" wrapText="1"/>
    </xf>
    <xf numFmtId="0" fontId="13" fillId="3" borderId="44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31" fillId="3" borderId="32" xfId="0" applyFont="1" applyFill="1" applyBorder="1" applyAlignment="1">
      <alignment horizontal="center" vertical="center"/>
    </xf>
    <xf numFmtId="0" fontId="0" fillId="0" borderId="32" xfId="0" applyBorder="1"/>
    <xf numFmtId="0" fontId="7" fillId="3" borderId="43" xfId="0" applyFont="1" applyFill="1" applyAlignment="1">
      <alignment horizontal="center" vertical="center"/>
    </xf>
    <xf numFmtId="0" fontId="22" fillId="5" borderId="3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0" fillId="0" borderId="25" xfId="0" applyBorder="1"/>
    <xf numFmtId="0" fontId="3" fillId="10" borderId="31" xfId="0" applyFont="1" applyFill="1" applyBorder="1" applyAlignment="1">
      <alignment horizontal="center" vertical="center"/>
    </xf>
    <xf numFmtId="0" fontId="9" fillId="13" borderId="55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38" xfId="0" applyBorder="1"/>
    <xf numFmtId="0" fontId="13" fillId="3" borderId="43" xfId="0" applyFont="1" applyFill="1" applyAlignment="1">
      <alignment horizontal="center" vertical="center"/>
    </xf>
    <xf numFmtId="0" fontId="9" fillId="13" borderId="44" xfId="0" applyFont="1" applyFill="1" applyBorder="1" applyAlignment="1">
      <alignment horizontal="center" vertical="center" wrapText="1"/>
    </xf>
    <xf numFmtId="10" fontId="55" fillId="3" borderId="44" xfId="2" applyNumberFormat="1" applyFont="1" applyFill="1" applyBorder="1" applyAlignment="1">
      <alignment horizontal="center" vertical="center"/>
    </xf>
    <xf numFmtId="10" fontId="20" fillId="0" borderId="8" xfId="2" applyNumberFormat="1" applyFont="1" applyBorder="1" applyAlignment="1">
      <alignment horizontal="center" vertical="center" wrapText="1"/>
    </xf>
    <xf numFmtId="10" fontId="19" fillId="0" borderId="8" xfId="2" applyNumberFormat="1" applyFont="1" applyBorder="1" applyAlignment="1">
      <alignment horizontal="center" vertical="center" wrapText="1"/>
    </xf>
    <xf numFmtId="10" fontId="19" fillId="0" borderId="26" xfId="2" applyNumberFormat="1" applyFont="1" applyBorder="1" applyAlignment="1">
      <alignment horizontal="center" vertical="center" wrapText="1"/>
    </xf>
    <xf numFmtId="0" fontId="23" fillId="16" borderId="8" xfId="0" applyFont="1" applyFill="1" applyBorder="1" applyAlignment="1">
      <alignment horizontal="left" vertical="center" wrapText="1"/>
    </xf>
    <xf numFmtId="164" fontId="57" fillId="16" borderId="8" xfId="0" applyNumberFormat="1" applyFont="1" applyFill="1" applyBorder="1" applyAlignment="1">
      <alignment horizontal="center" vertical="center" wrapText="1"/>
    </xf>
    <xf numFmtId="10" fontId="57" fillId="16" borderId="8" xfId="2" applyNumberFormat="1" applyFont="1" applyFill="1" applyBorder="1" applyAlignment="1">
      <alignment horizontal="center" vertical="center" wrapText="1"/>
    </xf>
    <xf numFmtId="0" fontId="52" fillId="16" borderId="8" xfId="0" applyFont="1" applyFill="1" applyBorder="1" applyAlignment="1">
      <alignment horizontal="left" vertical="center" wrapText="1"/>
    </xf>
    <xf numFmtId="164" fontId="51" fillId="16" borderId="8" xfId="0" applyNumberFormat="1" applyFont="1" applyFill="1" applyBorder="1" applyAlignment="1">
      <alignment horizontal="center" vertical="center" wrapText="1"/>
    </xf>
    <xf numFmtId="10" fontId="51" fillId="16" borderId="8" xfId="2" applyNumberFormat="1" applyFont="1" applyFill="1" applyBorder="1" applyAlignment="1">
      <alignment horizontal="center" vertical="center" wrapText="1"/>
    </xf>
    <xf numFmtId="164" fontId="23" fillId="17" borderId="8" xfId="0" applyNumberFormat="1" applyFont="1" applyFill="1" applyBorder="1" applyAlignment="1">
      <alignment horizontal="center" vertical="center" wrapText="1"/>
    </xf>
    <xf numFmtId="10" fontId="23" fillId="16" borderId="8" xfId="2" applyNumberFormat="1" applyFont="1" applyFill="1" applyBorder="1" applyAlignment="1">
      <alignment horizontal="center" vertical="center" wrapText="1"/>
    </xf>
    <xf numFmtId="0" fontId="58" fillId="18" borderId="58" xfId="0" applyFont="1" applyFill="1" applyBorder="1" applyAlignment="1">
      <alignment horizontal="center" vertical="center"/>
    </xf>
    <xf numFmtId="0" fontId="58" fillId="18" borderId="57" xfId="0" applyFont="1" applyFill="1" applyBorder="1" applyAlignment="1">
      <alignment horizontal="center" vertical="center"/>
    </xf>
    <xf numFmtId="0" fontId="58" fillId="18" borderId="46" xfId="0" applyFont="1" applyFill="1" applyBorder="1" applyAlignment="1">
      <alignment horizontal="center" vertical="center"/>
    </xf>
    <xf numFmtId="0" fontId="50" fillId="0" borderId="44" xfId="0" applyFont="1" applyBorder="1" applyAlignment="1">
      <alignment horizontal="center"/>
    </xf>
    <xf numFmtId="165" fontId="41" fillId="19" borderId="44" xfId="0" applyNumberFormat="1" applyFont="1" applyFill="1" applyBorder="1" applyAlignment="1">
      <alignment horizontal="center"/>
    </xf>
    <xf numFmtId="165" fontId="41" fillId="20" borderId="44" xfId="0" applyNumberFormat="1" applyFont="1" applyFill="1" applyBorder="1" applyAlignment="1">
      <alignment horizontal="center"/>
    </xf>
    <xf numFmtId="49" fontId="59" fillId="0" borderId="8" xfId="0" applyNumberFormat="1" applyFont="1" applyBorder="1" applyAlignment="1">
      <alignment horizontal="center" vertical="center"/>
    </xf>
    <xf numFmtId="44" fontId="1" fillId="0" borderId="8" xfId="1" applyFont="1" applyBorder="1"/>
    <xf numFmtId="44" fontId="37" fillId="0" borderId="8" xfId="1" applyFont="1" applyBorder="1"/>
    <xf numFmtId="44" fontId="1" fillId="0" borderId="44" xfId="1" applyFont="1" applyBorder="1" applyAlignment="1">
      <alignment horizontal="center"/>
    </xf>
    <xf numFmtId="44" fontId="36" fillId="2" borderId="44" xfId="1" applyFont="1" applyFill="1" applyBorder="1" applyAlignment="1">
      <alignment horizontal="center"/>
    </xf>
    <xf numFmtId="44" fontId="1" fillId="0" borderId="44" xfId="1" applyFont="1" applyBorder="1"/>
    <xf numFmtId="17" fontId="47" fillId="0" borderId="44" xfId="0" applyNumberFormat="1" applyFont="1" applyBorder="1" applyAlignment="1">
      <alignment horizontal="center" vertical="center"/>
    </xf>
    <xf numFmtId="169" fontId="47" fillId="0" borderId="44" xfId="0" applyNumberFormat="1" applyFont="1" applyBorder="1" applyAlignment="1">
      <alignment horizontal="center" vertical="center"/>
    </xf>
    <xf numFmtId="0" fontId="60" fillId="0" borderId="44" xfId="0" applyFont="1" applyBorder="1" applyAlignment="1">
      <alignment horizontal="left" vertical="center" wrapText="1"/>
    </xf>
    <xf numFmtId="0" fontId="23" fillId="21" borderId="44" xfId="0" applyFont="1" applyFill="1" applyBorder="1" applyAlignment="1">
      <alignment horizontal="center" vertical="center"/>
    </xf>
    <xf numFmtId="0" fontId="0" fillId="19" borderId="57" xfId="0" applyFill="1" applyBorder="1"/>
    <xf numFmtId="0" fontId="0" fillId="19" borderId="46" xfId="0" applyFill="1" applyBorder="1"/>
    <xf numFmtId="0" fontId="1" fillId="0" borderId="43" xfId="0" applyFont="1" applyBorder="1"/>
    <xf numFmtId="0" fontId="0" fillId="0" borderId="43" xfId="0" applyBorder="1"/>
    <xf numFmtId="0" fontId="61" fillId="0" borderId="44" xfId="0" applyFont="1" applyBorder="1" applyAlignment="1">
      <alignment horizontal="left" vertical="center" wrapText="1"/>
    </xf>
    <xf numFmtId="165" fontId="46" fillId="0" borderId="44" xfId="0" applyNumberFormat="1" applyFont="1" applyBorder="1" applyAlignment="1">
      <alignment horizontal="center" vertical="center"/>
    </xf>
    <xf numFmtId="44" fontId="46" fillId="0" borderId="44" xfId="1" applyFont="1" applyBorder="1" applyAlignment="1">
      <alignment horizontal="center" vertical="center"/>
    </xf>
    <xf numFmtId="165" fontId="60" fillId="0" borderId="44" xfId="0" applyNumberFormat="1" applyFont="1" applyBorder="1" applyAlignment="1">
      <alignment horizontal="center" vertical="center"/>
    </xf>
    <xf numFmtId="165" fontId="60" fillId="0" borderId="44" xfId="0" applyNumberFormat="1" applyFont="1" applyBorder="1" applyAlignment="1">
      <alignment horizontal="center"/>
    </xf>
    <xf numFmtId="167" fontId="46" fillId="0" borderId="44" xfId="0" applyNumberFormat="1" applyFont="1" applyBorder="1" applyAlignment="1">
      <alignment horizontal="center" vertical="center"/>
    </xf>
    <xf numFmtId="0" fontId="46" fillId="0" borderId="44" xfId="0" applyFont="1" applyBorder="1" applyAlignment="1">
      <alignment horizontal="center" vertical="center"/>
    </xf>
    <xf numFmtId="14" fontId="46" fillId="0" borderId="44" xfId="0" applyNumberFormat="1" applyFont="1" applyBorder="1" applyAlignment="1">
      <alignment horizontal="center" vertical="center"/>
    </xf>
    <xf numFmtId="0" fontId="62" fillId="0" borderId="44" xfId="0" applyFont="1" applyBorder="1" applyAlignment="1">
      <alignment horizontal="center" vertical="center"/>
    </xf>
    <xf numFmtId="0" fontId="47" fillId="0" borderId="44" xfId="0" applyFont="1" applyBorder="1" applyAlignment="1">
      <alignment horizontal="center" vertical="center"/>
    </xf>
    <xf numFmtId="0" fontId="47" fillId="0" borderId="44" xfId="0" applyFont="1" applyBorder="1" applyAlignment="1">
      <alignment horizontal="center" vertical="center" wrapText="1"/>
    </xf>
    <xf numFmtId="0" fontId="53" fillId="0" borderId="44" xfId="0" applyFont="1" applyBorder="1" applyAlignment="1">
      <alignment horizontal="center" vertical="center"/>
    </xf>
    <xf numFmtId="44" fontId="47" fillId="0" borderId="44" xfId="1" applyFont="1" applyBorder="1" applyAlignment="1">
      <alignment horizontal="center" vertical="center"/>
    </xf>
    <xf numFmtId="14" fontId="47" fillId="0" borderId="44" xfId="0" applyNumberFormat="1" applyFont="1" applyBorder="1" applyAlignment="1">
      <alignment horizontal="center" vertical="center"/>
    </xf>
    <xf numFmtId="0" fontId="46" fillId="0" borderId="44" xfId="0" applyFont="1" applyBorder="1" applyAlignment="1">
      <alignment horizontal="center"/>
    </xf>
    <xf numFmtId="165" fontId="46" fillId="0" borderId="44" xfId="0" applyNumberFormat="1" applyFont="1" applyBorder="1" applyAlignment="1">
      <alignment horizontal="center"/>
    </xf>
    <xf numFmtId="165" fontId="46" fillId="0" borderId="44" xfId="0" applyNumberFormat="1" applyFont="1" applyBorder="1" applyAlignment="1">
      <alignment horizontal="left"/>
    </xf>
    <xf numFmtId="0" fontId="46" fillId="0" borderId="44" xfId="0" applyFont="1" applyBorder="1" applyAlignment="1">
      <alignment horizontal="left"/>
    </xf>
    <xf numFmtId="1" fontId="47" fillId="0" borderId="44" xfId="0" applyNumberFormat="1" applyFont="1" applyBorder="1" applyAlignment="1">
      <alignment horizontal="center" vertical="center"/>
    </xf>
    <xf numFmtId="2" fontId="47" fillId="0" borderId="44" xfId="0" applyNumberFormat="1" applyFont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44" xfId="0" applyFont="1" applyFill="1" applyBorder="1" applyAlignment="1">
      <alignment horizontal="center" vertical="center"/>
    </xf>
    <xf numFmtId="0" fontId="3" fillId="5" borderId="56" xfId="0" applyFont="1" applyFill="1" applyBorder="1" applyAlignment="1">
      <alignment horizontal="center" vertical="center"/>
    </xf>
    <xf numFmtId="167" fontId="1" fillId="2" borderId="59" xfId="0" applyNumberFormat="1" applyFont="1" applyFill="1" applyBorder="1" applyAlignment="1">
      <alignment vertical="center"/>
    </xf>
    <xf numFmtId="167" fontId="1" fillId="2" borderId="17" xfId="0" applyNumberFormat="1" applyFont="1" applyFill="1" applyBorder="1" applyAlignment="1">
      <alignment vertical="center"/>
    </xf>
    <xf numFmtId="0" fontId="1" fillId="5" borderId="44" xfId="0" applyFont="1" applyFill="1" applyBorder="1"/>
    <xf numFmtId="0" fontId="1" fillId="5" borderId="44" xfId="0" applyFont="1" applyFill="1" applyBorder="1" applyAlignment="1">
      <alignment horizontal="center"/>
    </xf>
    <xf numFmtId="164" fontId="6" fillId="2" borderId="44" xfId="0" applyNumberFormat="1" applyFont="1" applyFill="1" applyBorder="1" applyAlignment="1">
      <alignment horizontal="center" vertical="center"/>
    </xf>
    <xf numFmtId="164" fontId="3" fillId="2" borderId="44" xfId="0" applyNumberFormat="1" applyFont="1" applyFill="1" applyBorder="1" applyAlignment="1">
      <alignment horizontal="center" vertical="center"/>
    </xf>
    <xf numFmtId="17" fontId="3" fillId="4" borderId="60" xfId="0" applyNumberFormat="1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0" fillId="0" borderId="59" xfId="0" applyBorder="1"/>
    <xf numFmtId="0" fontId="0" fillId="0" borderId="43" xfId="0" applyBorder="1"/>
    <xf numFmtId="0" fontId="1" fillId="0" borderId="43" xfId="0" applyFont="1" applyBorder="1" applyAlignment="1">
      <alignment horizontal="center"/>
    </xf>
    <xf numFmtId="17" fontId="3" fillId="4" borderId="44" xfId="0" applyNumberFormat="1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0" fillId="0" borderId="44" xfId="0" applyBorder="1"/>
    <xf numFmtId="0" fontId="27" fillId="0" borderId="8" xfId="0" applyFont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46" fillId="0" borderId="44" xfId="0" applyFont="1" applyBorder="1"/>
    <xf numFmtId="0" fontId="63" fillId="0" borderId="44" xfId="0" applyFont="1" applyBorder="1" applyAlignment="1">
      <alignment horizontal="left" vertical="center" wrapText="1"/>
    </xf>
    <xf numFmtId="2" fontId="63" fillId="0" borderId="44" xfId="0" applyNumberFormat="1" applyFont="1" applyBorder="1" applyAlignment="1">
      <alignment horizontal="center" vertical="center"/>
    </xf>
    <xf numFmtId="44" fontId="63" fillId="0" borderId="44" xfId="1" applyFont="1" applyBorder="1" applyAlignment="1">
      <alignment horizontal="center" vertical="center"/>
    </xf>
    <xf numFmtId="165" fontId="63" fillId="0" borderId="44" xfId="0" applyNumberFormat="1" applyFont="1" applyBorder="1" applyAlignment="1">
      <alignment horizontal="center" vertical="center"/>
    </xf>
    <xf numFmtId="167" fontId="63" fillId="0" borderId="44" xfId="0" applyNumberFormat="1" applyFont="1" applyBorder="1" applyAlignment="1">
      <alignment horizontal="center" vertical="center"/>
    </xf>
    <xf numFmtId="0" fontId="64" fillId="0" borderId="44" xfId="0" applyFont="1" applyBorder="1" applyAlignment="1">
      <alignment horizontal="left" vertical="center" wrapText="1"/>
    </xf>
    <xf numFmtId="0" fontId="65" fillId="0" borderId="44" xfId="0" applyFont="1" applyBorder="1" applyAlignment="1">
      <alignment horizontal="left" vertical="center" wrapText="1"/>
    </xf>
    <xf numFmtId="44" fontId="32" fillId="3" borderId="44" xfId="1" applyFont="1" applyFill="1" applyBorder="1" applyAlignment="1">
      <alignment horizontal="center" vertical="center"/>
    </xf>
    <xf numFmtId="0" fontId="46" fillId="0" borderId="44" xfId="0" applyFon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outlinePr summaryBelow="0" summaryRight="0"/>
  </sheetPr>
  <dimension ref="A1:W999"/>
  <sheetViews>
    <sheetView showGridLines="0" zoomScale="70" zoomScaleNormal="70" workbookViewId="0">
      <pane ySplit="5" topLeftCell="A6" activePane="bottomLeft" state="frozen"/>
      <selection pane="bottomLeft" activeCell="G10" sqref="G10"/>
    </sheetView>
  </sheetViews>
  <sheetFormatPr defaultColWidth="14.42578125" defaultRowHeight="15" customHeight="1"/>
  <cols>
    <col min="1" max="1" width="91.5703125" style="133" customWidth="1"/>
    <col min="2" max="2" width="25" style="133" customWidth="1"/>
    <col min="3" max="3" width="12.42578125" style="133" customWidth="1"/>
    <col min="4" max="4" width="9" style="133" customWidth="1"/>
    <col min="5" max="5" width="18" style="133" customWidth="1"/>
    <col min="6" max="7" width="12.5703125" style="133" customWidth="1"/>
    <col min="8" max="8" width="18" style="133" customWidth="1"/>
    <col min="9" max="9" width="9.140625" style="133" customWidth="1"/>
    <col min="10" max="10" width="16.140625" style="133" customWidth="1"/>
    <col min="11" max="11" width="6.85546875" style="133" customWidth="1"/>
    <col min="12" max="19" width="12.5703125" style="133" customWidth="1"/>
  </cols>
  <sheetData>
    <row r="1" spans="1:23">
      <c r="A1" s="4"/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21" customHeight="1">
      <c r="A2" s="8" t="s">
        <v>0</v>
      </c>
      <c r="B2" s="9"/>
      <c r="C2" s="10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21" customHeight="1">
      <c r="A3" s="257" t="s">
        <v>1</v>
      </c>
      <c r="B3" s="258"/>
      <c r="C3" s="259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>
      <c r="A4" s="4"/>
      <c r="B4" s="5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31.5" customHeight="1">
      <c r="A5" s="251" t="s">
        <v>2</v>
      </c>
      <c r="B5" s="252"/>
      <c r="C5" s="253"/>
      <c r="D5" s="13"/>
      <c r="E5" s="13"/>
      <c r="F5" s="13"/>
      <c r="G5" s="13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22.5" customHeight="1">
      <c r="A6" s="260" t="s">
        <v>3</v>
      </c>
      <c r="B6" s="255"/>
      <c r="C6" s="256"/>
      <c r="D6" s="14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38.25" customHeight="1">
      <c r="A7" s="254" t="s">
        <v>4</v>
      </c>
      <c r="B7" s="255"/>
      <c r="C7" s="25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8" customHeight="1">
      <c r="A8" s="15" t="s">
        <v>5</v>
      </c>
      <c r="B8" s="15" t="s">
        <v>6</v>
      </c>
      <c r="C8" s="15" t="s">
        <v>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78" customHeight="1">
      <c r="A9" s="159" t="s">
        <v>8</v>
      </c>
      <c r="B9" s="173">
        <f>'Fluxo de Caixa'!L5</f>
        <v>0</v>
      </c>
      <c r="C9" s="296">
        <f>IF($B$24=0,0,B9/$B$24)</f>
        <v>0</v>
      </c>
      <c r="D9" s="6"/>
      <c r="E9" s="6"/>
      <c r="F9" s="6"/>
      <c r="G9" s="6"/>
      <c r="H9" s="174"/>
      <c r="I9" s="1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58.5" customHeight="1">
      <c r="A10" s="159" t="s">
        <v>9</v>
      </c>
      <c r="B10" s="173">
        <f>'Fluxo de Caixa'!L6</f>
        <v>0</v>
      </c>
      <c r="C10" s="297">
        <f t="shared" ref="C10:C23" si="0">IF($B$24=0,0,B10/$B$24)</f>
        <v>0</v>
      </c>
      <c r="D10" s="6"/>
      <c r="E10" s="175"/>
      <c r="F10" s="6"/>
      <c r="G10" s="6"/>
      <c r="H10" s="174"/>
      <c r="I10" s="1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24" customHeight="1">
      <c r="A11" s="159" t="s">
        <v>10</v>
      </c>
      <c r="B11" s="173">
        <f>'Fluxo de Caixa'!L7</f>
        <v>134250</v>
      </c>
      <c r="C11" s="297">
        <f t="shared" si="0"/>
        <v>0.90808852202488377</v>
      </c>
      <c r="D11" s="6"/>
      <c r="E11" s="176"/>
      <c r="F11" s="6"/>
      <c r="G11" s="6"/>
      <c r="H11" s="174"/>
      <c r="I11" s="1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24" customHeight="1">
      <c r="A12" s="159" t="s">
        <v>11</v>
      </c>
      <c r="B12" s="173">
        <f>'Fluxo de Caixa'!L8</f>
        <v>8400</v>
      </c>
      <c r="C12" s="297">
        <f t="shared" si="0"/>
        <v>5.6818946629489935E-2</v>
      </c>
      <c r="D12" s="6"/>
      <c r="E12" s="176"/>
      <c r="F12" s="6"/>
      <c r="G12" s="6"/>
      <c r="H12" s="174"/>
      <c r="I12" s="1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26.25" customHeight="1">
      <c r="A13" s="159" t="s">
        <v>12</v>
      </c>
      <c r="B13" s="173">
        <f>'Fluxo de Caixa'!L9</f>
        <v>0</v>
      </c>
      <c r="C13" s="297">
        <f t="shared" si="0"/>
        <v>0</v>
      </c>
      <c r="D13" s="6"/>
      <c r="E13" s="176"/>
      <c r="F13" s="6"/>
      <c r="G13" s="6"/>
      <c r="H13" s="174"/>
      <c r="I13" s="1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21.75" customHeight="1">
      <c r="A14" s="159" t="s">
        <v>13</v>
      </c>
      <c r="B14" s="173">
        <f>'Fluxo de Caixa'!L10</f>
        <v>0</v>
      </c>
      <c r="C14" s="297">
        <f t="shared" si="0"/>
        <v>0</v>
      </c>
      <c r="D14" s="6"/>
      <c r="E14" s="176"/>
      <c r="F14" s="6"/>
      <c r="G14" s="6"/>
      <c r="H14" s="174"/>
      <c r="I14" s="1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27.75" customHeight="1">
      <c r="A15" s="299" t="s">
        <v>14</v>
      </c>
      <c r="B15" s="300">
        <f>SUM(B9:B14)</f>
        <v>142650</v>
      </c>
      <c r="C15" s="301">
        <f t="shared" si="0"/>
        <v>0.96490746865437371</v>
      </c>
      <c r="D15" s="6"/>
      <c r="E15" s="176"/>
      <c r="F15" s="6"/>
      <c r="G15" s="6"/>
      <c r="H15" s="177"/>
      <c r="I15" s="27"/>
      <c r="J15" s="13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41.25" customHeight="1">
      <c r="A16" s="302" t="s">
        <v>15</v>
      </c>
      <c r="B16" s="303">
        <f>SUM(B17:B20)</f>
        <v>5188.01</v>
      </c>
      <c r="C16" s="304">
        <f t="shared" si="0"/>
        <v>3.5092531345626204E-2</v>
      </c>
      <c r="D16" s="6"/>
      <c r="E16" s="179"/>
      <c r="F16" s="6"/>
      <c r="G16" s="6"/>
      <c r="H16" s="174"/>
      <c r="I16" s="1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28.5" customHeight="1">
      <c r="A17" s="28" t="s">
        <v>16</v>
      </c>
      <c r="B17" s="178">
        <f>'Fluxo de Caixa'!L13</f>
        <v>0</v>
      </c>
      <c r="C17" s="297">
        <f t="shared" si="0"/>
        <v>0</v>
      </c>
      <c r="D17" s="6"/>
      <c r="E17" s="6"/>
      <c r="F17" s="6"/>
      <c r="G17" s="6"/>
      <c r="H17" s="174"/>
      <c r="I17" s="1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27" customHeight="1">
      <c r="A18" s="28" t="s">
        <v>17</v>
      </c>
      <c r="B18" s="178">
        <f>'Fluxo de Caixa'!L14</f>
        <v>0</v>
      </c>
      <c r="C18" s="297">
        <f t="shared" si="0"/>
        <v>0</v>
      </c>
      <c r="D18" s="6"/>
      <c r="E18" s="6"/>
      <c r="F18" s="6"/>
      <c r="G18" s="6"/>
      <c r="H18" s="174"/>
      <c r="I18" s="1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25.5" customHeight="1">
      <c r="A19" s="28" t="s">
        <v>18</v>
      </c>
      <c r="B19" s="173">
        <f>'Fluxo de Caixa'!L15</f>
        <v>4125</v>
      </c>
      <c r="C19" s="297">
        <f t="shared" si="0"/>
        <v>2.790216129126738E-2</v>
      </c>
      <c r="D19" s="6"/>
      <c r="E19" s="6"/>
      <c r="F19" s="6"/>
      <c r="G19" s="6"/>
      <c r="H19" s="174"/>
      <c r="I19" s="16"/>
      <c r="J19" s="177"/>
      <c r="K19" s="2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28.5" customHeight="1">
      <c r="A20" s="35" t="s">
        <v>19</v>
      </c>
      <c r="B20" s="173">
        <f>'Fluxo de Caixa'!L16</f>
        <v>1063.01</v>
      </c>
      <c r="C20" s="297">
        <f t="shared" si="0"/>
        <v>7.190370054358821E-3</v>
      </c>
      <c r="D20" s="6"/>
      <c r="E20" s="6"/>
      <c r="F20" s="6"/>
      <c r="G20" s="6"/>
      <c r="H20" s="174"/>
      <c r="I20" s="16"/>
      <c r="J20" s="177"/>
      <c r="K20" s="2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24" customHeight="1">
      <c r="A21" s="299" t="s">
        <v>20</v>
      </c>
      <c r="B21" s="305">
        <f>B16+B15</f>
        <v>147838.01</v>
      </c>
      <c r="C21" s="306">
        <f t="shared" si="0"/>
        <v>1</v>
      </c>
      <c r="D21" s="6"/>
      <c r="E21" s="6"/>
      <c r="F21" s="6"/>
      <c r="G21" s="6"/>
      <c r="H21" s="177"/>
      <c r="I21" s="2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29.25" customHeight="1">
      <c r="A22" s="23" t="s">
        <v>21</v>
      </c>
      <c r="B22" s="180">
        <f>'Fluxo de Caixa'!L19</f>
        <v>0</v>
      </c>
      <c r="C22" s="297">
        <f t="shared" si="0"/>
        <v>0</v>
      </c>
      <c r="D22" s="6"/>
      <c r="E22" s="6"/>
      <c r="F22" s="6"/>
      <c r="G22" s="6"/>
      <c r="H22" s="174"/>
      <c r="I22" s="1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27" customHeight="1">
      <c r="A23" s="37" t="s">
        <v>22</v>
      </c>
      <c r="B23" s="181">
        <f>'Fluxo de Caixa'!L20</f>
        <v>0</v>
      </c>
      <c r="C23" s="298">
        <f t="shared" si="0"/>
        <v>0</v>
      </c>
      <c r="D23" s="6"/>
      <c r="E23" s="6"/>
      <c r="F23" s="6"/>
      <c r="G23" s="6"/>
      <c r="H23" s="174"/>
      <c r="I23" s="1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30.75" customHeight="1">
      <c r="A24" s="47" t="s">
        <v>23</v>
      </c>
      <c r="B24" s="182">
        <f>B21+B22+B23</f>
        <v>147838.01</v>
      </c>
      <c r="C24" s="48">
        <f>C21+C22+C23</f>
        <v>1</v>
      </c>
      <c r="D24" s="6"/>
      <c r="E24" s="6"/>
      <c r="F24" s="6"/>
      <c r="G24" s="6"/>
      <c r="H24" s="177"/>
      <c r="I24" s="2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5.75" customHeight="1">
      <c r="A30" s="6"/>
      <c r="B30" s="183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5:C5"/>
    <mergeCell ref="A7:C7"/>
    <mergeCell ref="A3:C3"/>
    <mergeCell ref="A6:C6"/>
  </mergeCells>
  <pageMargins left="0.511811024" right="0.511811024" top="0.78740157499999996" bottom="0.78740157499999996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AD1000"/>
  <sheetViews>
    <sheetView showGridLines="0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16" sqref="B16"/>
    </sheetView>
  </sheetViews>
  <sheetFormatPr defaultColWidth="64.85546875" defaultRowHeight="15" customHeight="1"/>
  <cols>
    <col min="1" max="1" width="63.85546875" style="133" bestFit="1" customWidth="1"/>
    <col min="2" max="2" width="19.7109375" style="133" bestFit="1" customWidth="1"/>
    <col min="3" max="3" width="11.5703125" style="133" bestFit="1" customWidth="1"/>
    <col min="4" max="6" width="18.28515625" style="133" bestFit="1" customWidth="1"/>
    <col min="7" max="7" width="12.85546875" style="133" bestFit="1" customWidth="1"/>
    <col min="8" max="8" width="15.42578125" style="133" bestFit="1" customWidth="1"/>
    <col min="9" max="9" width="14.42578125" style="133" bestFit="1" customWidth="1"/>
    <col min="10" max="10" width="11.140625" style="163" bestFit="1" customWidth="1"/>
    <col min="11" max="11" width="13.85546875" style="163" bestFit="1" customWidth="1"/>
    <col min="12" max="12" width="25.140625" style="133" bestFit="1" customWidth="1"/>
    <col min="13" max="13" width="18" style="133" bestFit="1" customWidth="1"/>
    <col min="14" max="16" width="64.85546875" style="133" customWidth="1"/>
  </cols>
  <sheetData>
    <row r="1" spans="1:30">
      <c r="A1" s="2"/>
      <c r="B1" s="2"/>
      <c r="C1" s="2"/>
      <c r="D1" s="2"/>
      <c r="E1" s="2"/>
      <c r="F1" s="2"/>
      <c r="G1" s="2"/>
      <c r="H1" s="2"/>
      <c r="I1" s="2"/>
      <c r="J1" s="160"/>
      <c r="K1" s="16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37.5" customHeight="1">
      <c r="A2" s="263" t="s">
        <v>24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2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21" customHeight="1">
      <c r="A3" s="265" t="s">
        <v>25</v>
      </c>
      <c r="B3" s="266"/>
      <c r="C3" s="267"/>
      <c r="D3" s="271">
        <v>2026</v>
      </c>
      <c r="E3" s="264"/>
      <c r="F3" s="264"/>
      <c r="G3" s="264"/>
      <c r="H3" s="264"/>
      <c r="I3" s="262"/>
      <c r="J3" s="261">
        <v>2027</v>
      </c>
      <c r="K3" s="262"/>
      <c r="L3" s="114" t="s">
        <v>26</v>
      </c>
      <c r="M3" s="114" t="s">
        <v>27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37.5" customHeight="1">
      <c r="A4" s="268"/>
      <c r="B4" s="269"/>
      <c r="C4" s="270"/>
      <c r="D4" s="167" t="s">
        <v>28</v>
      </c>
      <c r="E4" s="167" t="s">
        <v>29</v>
      </c>
      <c r="F4" s="167" t="s">
        <v>30</v>
      </c>
      <c r="G4" s="167" t="s">
        <v>31</v>
      </c>
      <c r="H4" s="167" t="s">
        <v>32</v>
      </c>
      <c r="I4" s="167" t="s">
        <v>33</v>
      </c>
      <c r="J4" s="167" t="s">
        <v>34</v>
      </c>
      <c r="K4" s="167" t="s">
        <v>35</v>
      </c>
      <c r="L4" s="168" t="s">
        <v>36</v>
      </c>
      <c r="M4" s="169" t="s">
        <v>37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75" customHeight="1">
      <c r="A5" s="124" t="s">
        <v>38</v>
      </c>
      <c r="B5" s="184">
        <v>0</v>
      </c>
      <c r="C5" s="164">
        <f>IF(OR(B5=0,B5=""),0,B5/$B$21)</f>
        <v>0</v>
      </c>
      <c r="D5" s="185">
        <v>0</v>
      </c>
      <c r="E5" s="185">
        <v>0</v>
      </c>
      <c r="F5" s="185">
        <v>0</v>
      </c>
      <c r="G5" s="186"/>
      <c r="H5" s="186"/>
      <c r="I5" s="186"/>
      <c r="J5" s="186"/>
      <c r="K5" s="186"/>
      <c r="L5" s="187">
        <f t="shared" ref="L5:L20" si="0">SUM(D5:K5)</f>
        <v>0</v>
      </c>
      <c r="M5" s="165">
        <f>IF(L5=0,0,L5/$L$21)</f>
        <v>0</v>
      </c>
      <c r="N5" s="22"/>
      <c r="O5" s="25"/>
      <c r="P5" s="25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ht="56.25" customHeight="1">
      <c r="A6" s="124" t="s">
        <v>9</v>
      </c>
      <c r="B6" s="184">
        <v>0</v>
      </c>
      <c r="C6" s="164">
        <f>IF(OR(B6=0,B6=""),0,B6/$B$21)</f>
        <v>0</v>
      </c>
      <c r="D6" s="185">
        <v>0</v>
      </c>
      <c r="E6" s="185">
        <v>0</v>
      </c>
      <c r="F6" s="185">
        <v>0</v>
      </c>
      <c r="G6" s="186"/>
      <c r="H6" s="186"/>
      <c r="I6" s="186"/>
      <c r="J6" s="186"/>
      <c r="K6" s="186"/>
      <c r="L6" s="187">
        <f t="shared" si="0"/>
        <v>0</v>
      </c>
      <c r="M6" s="165">
        <f t="shared" ref="M6:M20" si="1">IF(L6=0,0,L6/$L$21)</f>
        <v>0</v>
      </c>
      <c r="N6" s="22"/>
      <c r="O6" s="25"/>
      <c r="P6" s="25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18.75" customHeight="1">
      <c r="A7" s="122" t="s">
        <v>10</v>
      </c>
      <c r="B7" s="184">
        <v>458000</v>
      </c>
      <c r="C7" s="164">
        <f t="shared" ref="C5:C10" si="2">IF(OR(B7=0,B7=""),"",B7/$B$21)</f>
        <v>0.80492091388400699</v>
      </c>
      <c r="D7" s="185">
        <v>12000</v>
      </c>
      <c r="E7" s="185">
        <v>64125</v>
      </c>
      <c r="F7" s="185">
        <v>58125</v>
      </c>
      <c r="G7" s="186"/>
      <c r="H7" s="186"/>
      <c r="I7" s="186"/>
      <c r="J7" s="186"/>
      <c r="K7" s="186"/>
      <c r="L7" s="187">
        <f t="shared" si="0"/>
        <v>134250</v>
      </c>
      <c r="M7" s="165">
        <f t="shared" si="1"/>
        <v>0.90808852202488377</v>
      </c>
      <c r="N7" s="22"/>
      <c r="O7" s="25"/>
      <c r="P7" s="25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18.75" customHeight="1">
      <c r="A8" s="122" t="s">
        <v>39</v>
      </c>
      <c r="B8" s="184">
        <v>22400</v>
      </c>
      <c r="C8" s="164">
        <f t="shared" si="2"/>
        <v>3.9367311072056238E-2</v>
      </c>
      <c r="D8" s="185">
        <v>2800</v>
      </c>
      <c r="E8" s="185">
        <v>2800</v>
      </c>
      <c r="F8" s="185">
        <v>2800</v>
      </c>
      <c r="G8" s="186"/>
      <c r="H8" s="186"/>
      <c r="I8" s="186"/>
      <c r="J8" s="186"/>
      <c r="K8" s="186"/>
      <c r="L8" s="187">
        <f t="shared" si="0"/>
        <v>8400</v>
      </c>
      <c r="M8" s="165">
        <f t="shared" si="1"/>
        <v>5.6818946629489935E-2</v>
      </c>
      <c r="N8" s="22"/>
      <c r="O8" s="25"/>
      <c r="P8" s="34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18.75" customHeight="1">
      <c r="A9" s="125" t="s">
        <v>12</v>
      </c>
      <c r="B9" s="185">
        <v>8937</v>
      </c>
      <c r="C9" s="164">
        <f t="shared" si="2"/>
        <v>1.5706502636203868E-2</v>
      </c>
      <c r="D9" s="185">
        <v>0</v>
      </c>
      <c r="E9" s="185">
        <v>0</v>
      </c>
      <c r="F9" s="185">
        <v>0</v>
      </c>
      <c r="G9" s="186"/>
      <c r="H9" s="186"/>
      <c r="I9" s="186"/>
      <c r="J9" s="186"/>
      <c r="K9" s="186"/>
      <c r="L9" s="187">
        <f t="shared" si="0"/>
        <v>0</v>
      </c>
      <c r="M9" s="165">
        <f t="shared" si="1"/>
        <v>0</v>
      </c>
      <c r="N9" s="22"/>
      <c r="O9" s="25"/>
      <c r="P9" s="25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ht="18.75" customHeight="1">
      <c r="A10" s="122" t="s">
        <v>40</v>
      </c>
      <c r="B10" s="184">
        <v>0</v>
      </c>
      <c r="C10" s="164">
        <f>IF(OR(B10=0,B10=""),0,B10/$B$21)</f>
        <v>0</v>
      </c>
      <c r="D10" s="185">
        <v>0</v>
      </c>
      <c r="E10" s="185">
        <v>0</v>
      </c>
      <c r="F10" s="185">
        <v>0</v>
      </c>
      <c r="G10" s="186"/>
      <c r="H10" s="186"/>
      <c r="I10" s="186"/>
      <c r="J10" s="186"/>
      <c r="K10" s="186"/>
      <c r="L10" s="187">
        <f t="shared" si="0"/>
        <v>0</v>
      </c>
      <c r="M10" s="165">
        <f t="shared" si="1"/>
        <v>0</v>
      </c>
      <c r="N10" s="22"/>
      <c r="O10" s="25"/>
      <c r="P10" s="25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ht="18.75" customHeight="1">
      <c r="A11" s="170" t="s">
        <v>14</v>
      </c>
      <c r="B11" s="188">
        <f>SUM(B5:B10)</f>
        <v>489337</v>
      </c>
      <c r="C11" s="171">
        <f>IF(OR(B11=0,B11=""),0,B11/$B$21)</f>
        <v>0.85999472759226714</v>
      </c>
      <c r="D11" s="189">
        <f t="shared" ref="D11:K11" si="3">SUM(D5:D10)</f>
        <v>14800</v>
      </c>
      <c r="E11" s="189">
        <f t="shared" si="3"/>
        <v>66925</v>
      </c>
      <c r="F11" s="189">
        <f t="shared" si="3"/>
        <v>60925</v>
      </c>
      <c r="G11" s="189">
        <f t="shared" si="3"/>
        <v>0</v>
      </c>
      <c r="H11" s="189">
        <f t="shared" si="3"/>
        <v>0</v>
      </c>
      <c r="I11" s="189">
        <f t="shared" si="3"/>
        <v>0</v>
      </c>
      <c r="J11" s="189">
        <f t="shared" si="3"/>
        <v>0</v>
      </c>
      <c r="K11" s="189">
        <f t="shared" si="3"/>
        <v>0</v>
      </c>
      <c r="L11" s="190">
        <f t="shared" si="0"/>
        <v>142650</v>
      </c>
      <c r="M11" s="171">
        <f t="shared" si="1"/>
        <v>0.96490746865437371</v>
      </c>
      <c r="N11" s="22"/>
      <c r="O11" s="25"/>
      <c r="P11" s="25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37.5" customHeight="1">
      <c r="A12" s="172" t="s">
        <v>15</v>
      </c>
      <c r="B12" s="188">
        <f>SUM(B13:B16)</f>
        <v>7400</v>
      </c>
      <c r="C12" s="171">
        <f>IF(OR(B12=0,B12=""),0,B12/$B$21)</f>
        <v>1.3005272407732865E-2</v>
      </c>
      <c r="D12" s="189">
        <f t="shared" ref="D12:K12" si="4">SUM(D13:D16)</f>
        <v>4234.28</v>
      </c>
      <c r="E12" s="189">
        <f t="shared" si="4"/>
        <v>438.4</v>
      </c>
      <c r="F12" s="189">
        <f t="shared" si="4"/>
        <v>515.33000000000004</v>
      </c>
      <c r="G12" s="189">
        <f t="shared" si="4"/>
        <v>0</v>
      </c>
      <c r="H12" s="189">
        <f t="shared" si="4"/>
        <v>0</v>
      </c>
      <c r="I12" s="189">
        <f t="shared" si="4"/>
        <v>0</v>
      </c>
      <c r="J12" s="189">
        <f t="shared" si="4"/>
        <v>0</v>
      </c>
      <c r="K12" s="189">
        <f t="shared" si="4"/>
        <v>0</v>
      </c>
      <c r="L12" s="190">
        <f t="shared" si="0"/>
        <v>5188.0099999999993</v>
      </c>
      <c r="M12" s="171">
        <f t="shared" si="1"/>
        <v>3.5092531345626198E-2</v>
      </c>
      <c r="N12" s="22"/>
      <c r="O12" s="25"/>
      <c r="P12" s="25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ht="18.75" customHeight="1">
      <c r="A13" s="124" t="s">
        <v>41</v>
      </c>
      <c r="B13" s="185">
        <v>0</v>
      </c>
      <c r="C13" s="164">
        <f>IF(OR(B13=0,B13=""),0,B13/$B$21)</f>
        <v>0</v>
      </c>
      <c r="D13" s="185">
        <v>0</v>
      </c>
      <c r="E13" s="185">
        <v>0</v>
      </c>
      <c r="F13" s="185">
        <v>0</v>
      </c>
      <c r="G13" s="186"/>
      <c r="H13" s="186"/>
      <c r="I13" s="186"/>
      <c r="J13" s="186"/>
      <c r="K13" s="186"/>
      <c r="L13" s="187">
        <f t="shared" si="0"/>
        <v>0</v>
      </c>
      <c r="M13" s="165">
        <f t="shared" si="1"/>
        <v>0</v>
      </c>
      <c r="N13" s="22"/>
      <c r="O13" s="25"/>
      <c r="P13" s="25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ht="18.75" customHeight="1">
      <c r="A14" s="124" t="s">
        <v>42</v>
      </c>
      <c r="B14" s="185">
        <v>0</v>
      </c>
      <c r="C14" s="164">
        <f>IF(OR(B14=0,B14=""),0,B14/$B$21)</f>
        <v>0</v>
      </c>
      <c r="D14" s="185">
        <v>0</v>
      </c>
      <c r="E14" s="185">
        <v>0</v>
      </c>
      <c r="F14" s="185">
        <v>0</v>
      </c>
      <c r="G14" s="186"/>
      <c r="H14" s="186"/>
      <c r="I14" s="186"/>
      <c r="J14" s="186"/>
      <c r="K14" s="186"/>
      <c r="L14" s="187">
        <f t="shared" si="0"/>
        <v>0</v>
      </c>
      <c r="M14" s="165">
        <f t="shared" si="1"/>
        <v>0</v>
      </c>
      <c r="N14" s="22"/>
      <c r="O14" s="25"/>
      <c r="P14" s="25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18.75" customHeight="1">
      <c r="A15" s="124" t="s">
        <v>18</v>
      </c>
      <c r="B15" s="185">
        <v>5500</v>
      </c>
      <c r="C15" s="164">
        <f>IF(OR(B15=0,B15=""),"",B15/$B$21)</f>
        <v>9.6660808435852369E-3</v>
      </c>
      <c r="D15" s="185">
        <v>4125</v>
      </c>
      <c r="E15" s="185">
        <v>0</v>
      </c>
      <c r="F15" s="185">
        <v>0</v>
      </c>
      <c r="G15" s="186"/>
      <c r="H15" s="186"/>
      <c r="I15" s="186"/>
      <c r="J15" s="186"/>
      <c r="K15" s="186"/>
      <c r="L15" s="187">
        <f t="shared" si="0"/>
        <v>4125</v>
      </c>
      <c r="M15" s="165">
        <f t="shared" si="1"/>
        <v>2.790216129126738E-2</v>
      </c>
      <c r="N15" s="22"/>
      <c r="O15" s="25"/>
      <c r="P15" s="25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ht="18.75" customHeight="1">
      <c r="A16" s="124" t="s">
        <v>43</v>
      </c>
      <c r="B16" s="185">
        <v>1900</v>
      </c>
      <c r="C16" s="164">
        <f>IF(OR(B16=0,B16=""),"",B16/$B$21)</f>
        <v>3.3391915641476275E-3</v>
      </c>
      <c r="D16" s="185">
        <v>109.28</v>
      </c>
      <c r="E16" s="185">
        <v>438.4</v>
      </c>
      <c r="F16" s="185">
        <v>515.33000000000004</v>
      </c>
      <c r="G16" s="186"/>
      <c r="H16" s="186"/>
      <c r="I16" s="186"/>
      <c r="J16" s="186"/>
      <c r="K16" s="186"/>
      <c r="L16" s="187">
        <f t="shared" si="0"/>
        <v>1063.01</v>
      </c>
      <c r="M16" s="165">
        <f t="shared" si="1"/>
        <v>7.190370054358821E-3</v>
      </c>
      <c r="N16" s="22"/>
      <c r="O16" s="25"/>
      <c r="P16" s="25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ht="18.75" customHeight="1">
      <c r="A17" s="170" t="s">
        <v>20</v>
      </c>
      <c r="B17" s="188">
        <f>SUM(B11,B12)</f>
        <v>496737</v>
      </c>
      <c r="C17" s="171">
        <f>IF(OR(B17=0,B17=""),0,B17/$B$21)</f>
        <v>0.873</v>
      </c>
      <c r="D17" s="189">
        <f t="shared" ref="D17:K17" si="5">SUM(D11:D12)</f>
        <v>19034.28</v>
      </c>
      <c r="E17" s="189">
        <f t="shared" si="5"/>
        <v>67363.399999999994</v>
      </c>
      <c r="F17" s="189">
        <f t="shared" si="5"/>
        <v>61440.33</v>
      </c>
      <c r="G17" s="189">
        <f t="shared" si="5"/>
        <v>0</v>
      </c>
      <c r="H17" s="189">
        <f t="shared" si="5"/>
        <v>0</v>
      </c>
      <c r="I17" s="189">
        <f t="shared" si="5"/>
        <v>0</v>
      </c>
      <c r="J17" s="189">
        <f t="shared" si="5"/>
        <v>0</v>
      </c>
      <c r="K17" s="189">
        <f t="shared" si="5"/>
        <v>0</v>
      </c>
      <c r="L17" s="190">
        <f t="shared" si="0"/>
        <v>147838.01</v>
      </c>
      <c r="M17" s="171">
        <f t="shared" si="1"/>
        <v>1</v>
      </c>
      <c r="N17" s="22"/>
      <c r="O17" s="25"/>
      <c r="P17" s="25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ht="18.75" customHeight="1">
      <c r="A18" s="170" t="s">
        <v>44</v>
      </c>
      <c r="B18" s="188">
        <f>SUM(B19:B20)</f>
        <v>72263</v>
      </c>
      <c r="C18" s="171">
        <f>IF(OR(B18=0,B18=""),0,B18/$B$21)</f>
        <v>0.127</v>
      </c>
      <c r="D18" s="189">
        <f t="shared" ref="D18:K18" si="6">SUM(D19:D20)</f>
        <v>0</v>
      </c>
      <c r="E18" s="189">
        <f t="shared" si="6"/>
        <v>0</v>
      </c>
      <c r="F18" s="189">
        <f t="shared" si="6"/>
        <v>0</v>
      </c>
      <c r="G18" s="189">
        <f t="shared" si="6"/>
        <v>0</v>
      </c>
      <c r="H18" s="189">
        <f t="shared" si="6"/>
        <v>0</v>
      </c>
      <c r="I18" s="189">
        <f t="shared" si="6"/>
        <v>0</v>
      </c>
      <c r="J18" s="189">
        <f t="shared" si="6"/>
        <v>0</v>
      </c>
      <c r="K18" s="189">
        <f t="shared" si="6"/>
        <v>0</v>
      </c>
      <c r="L18" s="190">
        <f t="shared" si="0"/>
        <v>0</v>
      </c>
      <c r="M18" s="171">
        <f t="shared" si="1"/>
        <v>0</v>
      </c>
      <c r="N18" s="22"/>
      <c r="O18" s="25"/>
      <c r="P18" s="25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18.75" customHeight="1">
      <c r="A19" s="124" t="s">
        <v>21</v>
      </c>
      <c r="B19" s="184">
        <v>60883</v>
      </c>
      <c r="C19" s="164">
        <f>IF(OR(B19=0,B19=""),"",B19/$B$21)</f>
        <v>0.107</v>
      </c>
      <c r="D19" s="184">
        <v>0</v>
      </c>
      <c r="E19" s="184">
        <v>0</v>
      </c>
      <c r="F19" s="184">
        <v>0</v>
      </c>
      <c r="G19" s="191"/>
      <c r="H19" s="191"/>
      <c r="I19" s="191"/>
      <c r="J19" s="191"/>
      <c r="K19" s="191"/>
      <c r="L19" s="187">
        <f t="shared" si="0"/>
        <v>0</v>
      </c>
      <c r="M19" s="165">
        <f t="shared" si="1"/>
        <v>0</v>
      </c>
      <c r="N19" s="22"/>
      <c r="O19" s="25"/>
      <c r="P19" s="25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ht="18.75" customHeight="1">
      <c r="A20" s="126" t="s">
        <v>22</v>
      </c>
      <c r="B20" s="184">
        <v>11380</v>
      </c>
      <c r="C20" s="164">
        <f>IF(OR(B20=0,B20=""),"",B20/$B$21)</f>
        <v>0.02</v>
      </c>
      <c r="D20" s="184">
        <v>0</v>
      </c>
      <c r="E20" s="184">
        <v>0</v>
      </c>
      <c r="F20" s="184">
        <v>0</v>
      </c>
      <c r="G20" s="191"/>
      <c r="H20" s="191"/>
      <c r="I20" s="191"/>
      <c r="J20" s="191"/>
      <c r="K20" s="191"/>
      <c r="L20" s="187">
        <f t="shared" si="0"/>
        <v>0</v>
      </c>
      <c r="M20" s="165">
        <f t="shared" si="1"/>
        <v>0</v>
      </c>
      <c r="N20" s="22"/>
      <c r="O20" s="25"/>
      <c r="P20" s="25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5.75" customHeight="1">
      <c r="A21" s="127" t="s">
        <v>45</v>
      </c>
      <c r="B21" s="192">
        <f t="shared" ref="B21:L21" si="7">B17+B18</f>
        <v>569000</v>
      </c>
      <c r="C21" s="295">
        <f t="shared" si="7"/>
        <v>1</v>
      </c>
      <c r="D21" s="192">
        <f t="shared" si="7"/>
        <v>19034.28</v>
      </c>
      <c r="E21" s="192">
        <f t="shared" si="7"/>
        <v>67363.399999999994</v>
      </c>
      <c r="F21" s="192">
        <f t="shared" si="7"/>
        <v>61440.33</v>
      </c>
      <c r="G21" s="192">
        <f t="shared" si="7"/>
        <v>0</v>
      </c>
      <c r="H21" s="192">
        <f t="shared" si="7"/>
        <v>0</v>
      </c>
      <c r="I21" s="192">
        <f t="shared" si="7"/>
        <v>0</v>
      </c>
      <c r="J21" s="192">
        <f t="shared" si="7"/>
        <v>0</v>
      </c>
      <c r="K21" s="192">
        <f t="shared" si="7"/>
        <v>0</v>
      </c>
      <c r="L21" s="250">
        <f>L17+L18</f>
        <v>147838.01</v>
      </c>
      <c r="M21" s="166">
        <f>IF(B21=0,0,$L$21/$B$21)</f>
        <v>0.25982075571177504</v>
      </c>
      <c r="N21" s="22"/>
      <c r="O21" s="25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161"/>
      <c r="K22" s="161"/>
      <c r="L22" s="61"/>
      <c r="M22" s="61"/>
      <c r="N22" s="61"/>
      <c r="O22" s="61"/>
      <c r="P22" s="63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</row>
    <row r="23" spans="1:30" ht="15.75" customHeight="1">
      <c r="A23" s="61"/>
      <c r="B23" s="64"/>
      <c r="C23" s="61"/>
      <c r="D23" s="61"/>
      <c r="E23" s="61"/>
      <c r="F23" s="61"/>
      <c r="G23" s="61"/>
      <c r="H23" s="61"/>
      <c r="I23" s="61"/>
      <c r="J23" s="161"/>
      <c r="K23" s="1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</row>
    <row r="24" spans="1:30" ht="15.75" customHeight="1">
      <c r="A24" s="61"/>
      <c r="B24" s="61"/>
      <c r="C24" s="61"/>
      <c r="D24" s="193"/>
      <c r="E24" s="193"/>
      <c r="F24" s="193"/>
      <c r="G24" s="193"/>
      <c r="H24" s="193"/>
      <c r="I24" s="193"/>
      <c r="J24" s="194"/>
      <c r="K24" s="194"/>
      <c r="L24" s="65"/>
      <c r="M24" s="66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</row>
    <row r="25" spans="1:30" ht="15.75" customHeight="1">
      <c r="A25" s="61"/>
      <c r="B25" s="61"/>
      <c r="C25" s="61"/>
      <c r="D25" s="195"/>
      <c r="E25" s="195"/>
      <c r="F25" s="195"/>
      <c r="G25" s="195"/>
      <c r="H25" s="195"/>
      <c r="I25" s="195"/>
      <c r="J25" s="196"/>
      <c r="K25" s="196"/>
      <c r="L25" s="65"/>
      <c r="M25" s="66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</row>
    <row r="26" spans="1:30" ht="15.75" customHeight="1">
      <c r="A26" s="61"/>
      <c r="B26" s="61"/>
      <c r="C26" s="61"/>
      <c r="D26" s="197"/>
      <c r="E26" s="197"/>
      <c r="F26" s="197"/>
      <c r="G26" s="197"/>
      <c r="H26" s="197"/>
      <c r="I26" s="197"/>
      <c r="J26" s="198"/>
      <c r="K26" s="198"/>
      <c r="L26" s="195"/>
      <c r="M26" s="66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</row>
    <row r="27" spans="1:30" ht="15.75" customHeight="1">
      <c r="A27" s="61"/>
      <c r="B27" s="61"/>
      <c r="C27" s="61"/>
      <c r="D27" s="197"/>
      <c r="E27" s="197"/>
      <c r="F27" s="197"/>
      <c r="G27" s="197"/>
      <c r="H27" s="197"/>
      <c r="I27" s="197"/>
      <c r="J27" s="198"/>
      <c r="K27" s="198"/>
      <c r="L27" s="65"/>
      <c r="M27" s="66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</row>
    <row r="28" spans="1:30" ht="15.75" customHeight="1">
      <c r="A28" s="61"/>
      <c r="B28" s="61"/>
      <c r="C28" s="61"/>
      <c r="D28" s="197"/>
      <c r="E28" s="197"/>
      <c r="F28" s="197"/>
      <c r="G28" s="197"/>
      <c r="H28" s="197"/>
      <c r="I28" s="197"/>
      <c r="J28" s="198"/>
      <c r="K28" s="198"/>
      <c r="L28" s="199"/>
      <c r="M28" s="66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</row>
    <row r="29" spans="1:30" ht="15.75" customHeight="1">
      <c r="A29" s="61"/>
      <c r="B29" s="61"/>
      <c r="C29" s="61"/>
      <c r="D29" s="200"/>
      <c r="E29" s="200"/>
      <c r="F29" s="200"/>
      <c r="G29" s="200"/>
      <c r="H29" s="200"/>
      <c r="I29" s="200"/>
      <c r="J29" s="201"/>
      <c r="K29" s="201"/>
      <c r="L29" s="66"/>
      <c r="M29" s="66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</row>
    <row r="30" spans="1:30" ht="15.75" customHeight="1">
      <c r="A30" s="61"/>
      <c r="B30" s="61"/>
      <c r="C30" s="61"/>
      <c r="D30" s="66"/>
      <c r="E30" s="66"/>
      <c r="F30" s="66"/>
      <c r="G30" s="66"/>
      <c r="H30" s="66"/>
      <c r="I30" s="66"/>
      <c r="J30" s="162"/>
      <c r="K30" s="162"/>
      <c r="L30" s="202"/>
      <c r="M30" s="66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</row>
    <row r="31" spans="1:30" ht="15.75" customHeight="1">
      <c r="A31" s="61"/>
      <c r="B31" s="61"/>
      <c r="C31" s="61"/>
      <c r="D31" s="203"/>
      <c r="E31" s="203"/>
      <c r="F31" s="203"/>
      <c r="G31" s="203"/>
      <c r="H31" s="203"/>
      <c r="I31" s="203"/>
      <c r="J31" s="204"/>
      <c r="K31" s="204"/>
      <c r="L31" s="199"/>
      <c r="M31" s="66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</row>
    <row r="32" spans="1:30" ht="15.75" customHeight="1">
      <c r="A32" s="61"/>
      <c r="B32" s="61"/>
      <c r="C32" s="61"/>
      <c r="D32" s="199"/>
      <c r="E32" s="199"/>
      <c r="F32" s="199"/>
      <c r="G32" s="199"/>
      <c r="H32" s="199"/>
      <c r="I32" s="199"/>
      <c r="J32" s="205"/>
      <c r="K32" s="205"/>
      <c r="L32" s="66"/>
      <c r="M32" s="66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</row>
    <row r="33" spans="1:30" ht="15.75" customHeight="1">
      <c r="A33" s="61"/>
      <c r="B33" s="61"/>
      <c r="C33" s="61"/>
      <c r="D33" s="203"/>
      <c r="E33" s="203"/>
      <c r="F33" s="203"/>
      <c r="G33" s="203"/>
      <c r="H33" s="203"/>
      <c r="I33" s="203"/>
      <c r="J33" s="204"/>
      <c r="K33" s="204"/>
      <c r="L33" s="195"/>
      <c r="M33" s="66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</row>
    <row r="34" spans="1:30" ht="15.75" customHeight="1">
      <c r="A34" s="61"/>
      <c r="B34" s="61"/>
      <c r="C34" s="61"/>
      <c r="D34" s="66"/>
      <c r="E34" s="66"/>
      <c r="F34" s="66"/>
      <c r="G34" s="66"/>
      <c r="H34" s="66"/>
      <c r="I34" s="66"/>
      <c r="J34" s="162"/>
      <c r="K34" s="162"/>
      <c r="L34" s="202"/>
      <c r="M34" s="66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</row>
    <row r="35" spans="1:30" ht="15.75" customHeight="1">
      <c r="A35" s="61"/>
      <c r="B35" s="61"/>
      <c r="C35" s="61"/>
      <c r="D35" s="66"/>
      <c r="E35" s="66"/>
      <c r="F35" s="66"/>
      <c r="G35" s="66"/>
      <c r="H35" s="66"/>
      <c r="I35" s="66"/>
      <c r="J35" s="162"/>
      <c r="K35" s="162"/>
      <c r="L35" s="66"/>
      <c r="M35" s="66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</row>
    <row r="36" spans="1:30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161"/>
      <c r="K36" s="1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</row>
    <row r="37" spans="1:30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161"/>
      <c r="K37" s="1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</row>
    <row r="38" spans="1:30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161"/>
      <c r="K38" s="1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</row>
    <row r="39" spans="1:30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161"/>
      <c r="K39" s="1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</row>
    <row r="40" spans="1:3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161"/>
      <c r="K40" s="1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</row>
    <row r="41" spans="1:30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161"/>
      <c r="K41" s="1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</row>
    <row r="42" spans="1:30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161"/>
      <c r="K42" s="1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</row>
    <row r="43" spans="1:30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161"/>
      <c r="K43" s="1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</row>
    <row r="44" spans="1:30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161"/>
      <c r="K44" s="1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</row>
    <row r="45" spans="1:30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161"/>
      <c r="K45" s="1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</row>
    <row r="46" spans="1:30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161"/>
      <c r="K46" s="1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</row>
    <row r="47" spans="1:30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161"/>
      <c r="K47" s="1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</row>
    <row r="48" spans="1:30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161"/>
      <c r="K48" s="1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</row>
    <row r="49" spans="1:30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161"/>
      <c r="K49" s="1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</row>
    <row r="50" spans="1:3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161"/>
      <c r="K50" s="1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</row>
    <row r="51" spans="1:30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161"/>
      <c r="K51" s="1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</row>
    <row r="52" spans="1:30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161"/>
      <c r="K52" s="1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</row>
    <row r="53" spans="1:30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161"/>
      <c r="K53" s="1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</row>
    <row r="54" spans="1:30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161"/>
      <c r="K54" s="1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</row>
    <row r="55" spans="1:30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161"/>
      <c r="K55" s="1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</row>
    <row r="56" spans="1:30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161"/>
      <c r="K56" s="1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</row>
    <row r="57" spans="1:30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161"/>
      <c r="K57" s="1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</row>
    <row r="58" spans="1:30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161"/>
      <c r="K58" s="1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</row>
    <row r="59" spans="1:30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161"/>
      <c r="K59" s="1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</row>
    <row r="60" spans="1:3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161"/>
      <c r="K60" s="1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</row>
    <row r="61" spans="1:30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161"/>
      <c r="K61" s="1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</row>
    <row r="62" spans="1:30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161"/>
      <c r="K62" s="1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</row>
    <row r="63" spans="1:30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161"/>
      <c r="K63" s="1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</row>
    <row r="64" spans="1:30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161"/>
      <c r="K64" s="1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</row>
    <row r="65" spans="1:30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161"/>
      <c r="K65" s="1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</row>
    <row r="66" spans="1:30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161"/>
      <c r="K66" s="1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</row>
    <row r="67" spans="1:30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161"/>
      <c r="K67" s="1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</row>
    <row r="68" spans="1:30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161"/>
      <c r="K68" s="1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</row>
    <row r="69" spans="1:30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161"/>
      <c r="K69" s="1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</row>
    <row r="70" spans="1:3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161"/>
      <c r="K70" s="1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</row>
    <row r="71" spans="1:30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161"/>
      <c r="K71" s="1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</row>
    <row r="72" spans="1:30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161"/>
      <c r="K72" s="1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</row>
    <row r="73" spans="1:30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161"/>
      <c r="K73" s="1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</row>
    <row r="74" spans="1:30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161"/>
      <c r="K74" s="1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</row>
    <row r="75" spans="1:30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161"/>
      <c r="K75" s="1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</row>
    <row r="76" spans="1:30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161"/>
      <c r="K76" s="1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</row>
    <row r="77" spans="1:30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161"/>
      <c r="K77" s="1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</row>
    <row r="78" spans="1:30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161"/>
      <c r="K78" s="1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</row>
    <row r="79" spans="1:30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161"/>
      <c r="K79" s="1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</row>
    <row r="80" spans="1:3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161"/>
      <c r="K80" s="1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</row>
    <row r="81" spans="1:30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161"/>
      <c r="K81" s="1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</row>
    <row r="82" spans="1:30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161"/>
      <c r="K82" s="1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</row>
    <row r="83" spans="1:30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161"/>
      <c r="K83" s="1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</row>
    <row r="84" spans="1:30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161"/>
      <c r="K84" s="1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</row>
    <row r="85" spans="1:30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161"/>
      <c r="K85" s="1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</row>
    <row r="86" spans="1:30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161"/>
      <c r="K86" s="1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</row>
    <row r="87" spans="1:30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161"/>
      <c r="K87" s="1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</row>
    <row r="88" spans="1:30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161"/>
      <c r="K88" s="1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</row>
    <row r="89" spans="1:30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161"/>
      <c r="K89" s="1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</row>
    <row r="90" spans="1:3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161"/>
      <c r="K90" s="1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</row>
    <row r="91" spans="1:30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161"/>
      <c r="K91" s="1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</row>
    <row r="92" spans="1:30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161"/>
      <c r="K92" s="1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</row>
    <row r="93" spans="1:30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161"/>
      <c r="K93" s="1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</row>
    <row r="94" spans="1:30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161"/>
      <c r="K94" s="1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</row>
    <row r="95" spans="1:30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161"/>
      <c r="K95" s="1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</row>
    <row r="96" spans="1:30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161"/>
      <c r="K96" s="1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</row>
    <row r="97" spans="1:30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161"/>
      <c r="K97" s="1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</row>
    <row r="98" spans="1:30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161"/>
      <c r="K98" s="1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</row>
    <row r="99" spans="1:30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161"/>
      <c r="K99" s="1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</row>
    <row r="100" spans="1:3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161"/>
      <c r="K100" s="1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</row>
    <row r="101" spans="1:30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161"/>
      <c r="K101" s="1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</row>
    <row r="102" spans="1:30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161"/>
      <c r="K102" s="1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</row>
    <row r="103" spans="1:30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161"/>
      <c r="K103" s="1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</row>
    <row r="104" spans="1:30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161"/>
      <c r="K104" s="1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</row>
    <row r="105" spans="1:30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161"/>
      <c r="K105" s="1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</row>
    <row r="106" spans="1:30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161"/>
      <c r="K106" s="1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</row>
    <row r="107" spans="1:30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161"/>
      <c r="K107" s="1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</row>
    <row r="108" spans="1:30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161"/>
      <c r="K108" s="1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</row>
    <row r="109" spans="1:30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161"/>
      <c r="K109" s="1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</row>
    <row r="110" spans="1:3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161"/>
      <c r="K110" s="1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</row>
    <row r="111" spans="1:30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161"/>
      <c r="K111" s="1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</row>
    <row r="112" spans="1:30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161"/>
      <c r="K112" s="1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</row>
    <row r="113" spans="1:30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161"/>
      <c r="K113" s="1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</row>
    <row r="114" spans="1:30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161"/>
      <c r="K114" s="1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</row>
    <row r="115" spans="1:30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161"/>
      <c r="K115" s="1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</row>
    <row r="116" spans="1:30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161"/>
      <c r="K116" s="1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</row>
    <row r="117" spans="1:30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161"/>
      <c r="K117" s="1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</row>
    <row r="118" spans="1:30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161"/>
      <c r="K118" s="1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</row>
    <row r="119" spans="1:30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161"/>
      <c r="K119" s="1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</row>
    <row r="120" spans="1:3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161"/>
      <c r="K120" s="1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</row>
    <row r="121" spans="1:30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161"/>
      <c r="K121" s="1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</row>
    <row r="122" spans="1:30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161"/>
      <c r="K122" s="1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</row>
    <row r="123" spans="1:30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161"/>
      <c r="K123" s="1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</row>
    <row r="124" spans="1:30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161"/>
      <c r="K124" s="1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</row>
    <row r="125" spans="1:30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161"/>
      <c r="K125" s="1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</row>
    <row r="126" spans="1:30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161"/>
      <c r="K126" s="1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</row>
    <row r="127" spans="1:30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161"/>
      <c r="K127" s="1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</row>
    <row r="128" spans="1:30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161"/>
      <c r="K128" s="1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</row>
    <row r="129" spans="1:30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161"/>
      <c r="K129" s="1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</row>
    <row r="130" spans="1: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161"/>
      <c r="K130" s="1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</row>
    <row r="131" spans="1:30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161"/>
      <c r="K131" s="1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</row>
    <row r="132" spans="1:30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161"/>
      <c r="K132" s="1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</row>
    <row r="133" spans="1:30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161"/>
      <c r="K133" s="1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</row>
    <row r="134" spans="1:30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161"/>
      <c r="K134" s="1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</row>
    <row r="135" spans="1:30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161"/>
      <c r="K135" s="1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</row>
    <row r="136" spans="1:30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161"/>
      <c r="K136" s="1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</row>
    <row r="137" spans="1:30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161"/>
      <c r="K137" s="1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</row>
    <row r="138" spans="1:30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161"/>
      <c r="K138" s="1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</row>
    <row r="139" spans="1:30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161"/>
      <c r="K139" s="1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</row>
    <row r="140" spans="1:3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161"/>
      <c r="K140" s="1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</row>
    <row r="141" spans="1:30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161"/>
      <c r="K141" s="1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</row>
    <row r="142" spans="1:30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161"/>
      <c r="K142" s="1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</row>
    <row r="143" spans="1:30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161"/>
      <c r="K143" s="1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</row>
    <row r="144" spans="1:30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161"/>
      <c r="K144" s="1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</row>
    <row r="145" spans="1:30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161"/>
      <c r="K145" s="1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</row>
    <row r="146" spans="1:30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161"/>
      <c r="K146" s="1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</row>
    <row r="147" spans="1:30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161"/>
      <c r="K147" s="1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</row>
    <row r="148" spans="1:30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161"/>
      <c r="K148" s="1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</row>
    <row r="149" spans="1:30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161"/>
      <c r="K149" s="1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</row>
    <row r="150" spans="1:3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161"/>
      <c r="K150" s="1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</row>
    <row r="151" spans="1:30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161"/>
      <c r="K151" s="1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</row>
    <row r="152" spans="1:30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161"/>
      <c r="K152" s="1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</row>
    <row r="153" spans="1:30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161"/>
      <c r="K153" s="1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</row>
    <row r="154" spans="1:30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161"/>
      <c r="K154" s="1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</row>
    <row r="155" spans="1:30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161"/>
      <c r="K155" s="1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</row>
    <row r="156" spans="1:30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161"/>
      <c r="K156" s="1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</row>
    <row r="157" spans="1:30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161"/>
      <c r="K157" s="1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</row>
    <row r="158" spans="1:30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161"/>
      <c r="K158" s="1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</row>
    <row r="159" spans="1:30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161"/>
      <c r="K159" s="1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</row>
    <row r="160" spans="1:3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161"/>
      <c r="K160" s="1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</row>
    <row r="161" spans="1:30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161"/>
      <c r="K161" s="1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</row>
    <row r="162" spans="1:30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161"/>
      <c r="K162" s="1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</row>
    <row r="163" spans="1:30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161"/>
      <c r="K163" s="1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</row>
    <row r="164" spans="1:30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161"/>
      <c r="K164" s="1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</row>
    <row r="165" spans="1:30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161"/>
      <c r="K165" s="1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</row>
    <row r="166" spans="1:30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161"/>
      <c r="K166" s="1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</row>
    <row r="167" spans="1:30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161"/>
      <c r="K167" s="1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</row>
    <row r="168" spans="1:30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161"/>
      <c r="K168" s="1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</row>
    <row r="169" spans="1:30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161"/>
      <c r="K169" s="1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</row>
    <row r="170" spans="1:3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161"/>
      <c r="K170" s="1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</row>
    <row r="171" spans="1:30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161"/>
      <c r="K171" s="1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</row>
    <row r="172" spans="1:30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161"/>
      <c r="K172" s="1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</row>
    <row r="173" spans="1:30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161"/>
      <c r="K173" s="1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</row>
    <row r="174" spans="1:30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161"/>
      <c r="K174" s="1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</row>
    <row r="175" spans="1:30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161"/>
      <c r="K175" s="1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</row>
    <row r="176" spans="1:30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161"/>
      <c r="K176" s="1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</row>
    <row r="177" spans="1:30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161"/>
      <c r="K177" s="1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</row>
    <row r="178" spans="1:30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161"/>
      <c r="K178" s="1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</row>
    <row r="179" spans="1:30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161"/>
      <c r="K179" s="1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</row>
    <row r="180" spans="1:3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161"/>
      <c r="K180" s="1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</row>
    <row r="181" spans="1:30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161"/>
      <c r="K181" s="1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</row>
    <row r="182" spans="1:30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161"/>
      <c r="K182" s="1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</row>
    <row r="183" spans="1:30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161"/>
      <c r="K183" s="1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</row>
    <row r="184" spans="1:30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161"/>
      <c r="K184" s="1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</row>
    <row r="185" spans="1:30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161"/>
      <c r="K185" s="1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</row>
    <row r="186" spans="1:30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161"/>
      <c r="K186" s="1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</row>
    <row r="187" spans="1:30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161"/>
      <c r="K187" s="1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</row>
    <row r="188" spans="1:30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161"/>
      <c r="K188" s="1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</row>
    <row r="189" spans="1:30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161"/>
      <c r="K189" s="1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</row>
    <row r="190" spans="1:3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161"/>
      <c r="K190" s="1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</row>
    <row r="191" spans="1:30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161"/>
      <c r="K191" s="1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</row>
    <row r="192" spans="1:30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161"/>
      <c r="K192" s="1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</row>
    <row r="193" spans="1:30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161"/>
      <c r="K193" s="1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</row>
    <row r="194" spans="1:30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161"/>
      <c r="K194" s="1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</row>
    <row r="195" spans="1:30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161"/>
      <c r="K195" s="1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</row>
    <row r="196" spans="1:30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161"/>
      <c r="K196" s="1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</row>
    <row r="197" spans="1:30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161"/>
      <c r="K197" s="1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</row>
    <row r="198" spans="1:30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161"/>
      <c r="K198" s="1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</row>
    <row r="199" spans="1:30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161"/>
      <c r="K199" s="1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</row>
    <row r="200" spans="1:3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161"/>
      <c r="K200" s="1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</row>
    <row r="201" spans="1:30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161"/>
      <c r="K201" s="1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</row>
    <row r="202" spans="1:30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161"/>
      <c r="K202" s="1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</row>
    <row r="203" spans="1:30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161"/>
      <c r="K203" s="1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</row>
    <row r="204" spans="1:30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161"/>
      <c r="K204" s="1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</row>
    <row r="205" spans="1:30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161"/>
      <c r="K205" s="1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</row>
    <row r="206" spans="1:30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161"/>
      <c r="K206" s="1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</row>
    <row r="207" spans="1:30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161"/>
      <c r="K207" s="1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</row>
    <row r="208" spans="1:30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161"/>
      <c r="K208" s="1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</row>
    <row r="209" spans="1:30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161"/>
      <c r="K209" s="1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</row>
    <row r="210" spans="1:3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161"/>
      <c r="K210" s="1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</row>
    <row r="211" spans="1:30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161"/>
      <c r="K211" s="1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</row>
    <row r="212" spans="1:30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161"/>
      <c r="K212" s="1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</row>
    <row r="213" spans="1:30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161"/>
      <c r="K213" s="1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</row>
    <row r="214" spans="1:30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161"/>
      <c r="K214" s="1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</row>
    <row r="215" spans="1:30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161"/>
      <c r="K215" s="1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</row>
    <row r="216" spans="1:30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161"/>
      <c r="K216" s="1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</row>
    <row r="217" spans="1:30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161"/>
      <c r="K217" s="1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</row>
    <row r="218" spans="1:30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161"/>
      <c r="K218" s="1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</row>
    <row r="219" spans="1:30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161"/>
      <c r="K219" s="1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</row>
    <row r="220" spans="1:3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161"/>
      <c r="K220" s="1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</row>
    <row r="221" spans="1:30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161"/>
      <c r="K221" s="1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</row>
    <row r="222" spans="1:30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161"/>
      <c r="K222" s="1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</row>
    <row r="223" spans="1:30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161"/>
      <c r="K223" s="1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</row>
    <row r="224" spans="1:30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161"/>
      <c r="K224" s="1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</row>
    <row r="225" spans="1:30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161"/>
      <c r="K225" s="1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</row>
    <row r="226" spans="1:30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161"/>
      <c r="K226" s="1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</row>
    <row r="227" spans="1:30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161"/>
      <c r="K227" s="1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</row>
    <row r="228" spans="1:30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161"/>
      <c r="K228" s="1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</row>
    <row r="229" spans="1:30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161"/>
      <c r="K229" s="1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</row>
    <row r="230" spans="1: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161"/>
      <c r="K230" s="1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</row>
    <row r="231" spans="1:30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161"/>
      <c r="K231" s="1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</row>
    <row r="232" spans="1:30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161"/>
      <c r="K232" s="1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</row>
    <row r="233" spans="1:30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161"/>
      <c r="K233" s="1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</row>
    <row r="234" spans="1:30" ht="15.75" customHeight="1"/>
    <row r="235" spans="1:30" ht="15.75" customHeight="1"/>
    <row r="236" spans="1:30" ht="15.75" customHeight="1"/>
    <row r="237" spans="1:30" ht="15.75" customHeight="1"/>
    <row r="238" spans="1:30" ht="15.75" customHeight="1"/>
    <row r="239" spans="1:30" ht="15.75" customHeight="1"/>
    <row r="240" spans="1:3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J3:K3"/>
    <mergeCell ref="A2:M2"/>
    <mergeCell ref="A3:C4"/>
    <mergeCell ref="D3:I3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  <outlinePr summaryBelow="0" summaryRight="0"/>
  </sheetPr>
  <dimension ref="A1:Z275"/>
  <sheetViews>
    <sheetView showGridLines="0" tabSelected="1" topLeftCell="A16" zoomScale="70" zoomScaleNormal="70" workbookViewId="0">
      <selection activeCell="J44" sqref="J43:J44"/>
    </sheetView>
  </sheetViews>
  <sheetFormatPr defaultColWidth="14.42578125" defaultRowHeight="15"/>
  <cols>
    <col min="1" max="1" width="35.7109375" style="133" customWidth="1"/>
    <col min="2" max="2" width="14.42578125" style="133" customWidth="1"/>
    <col min="3" max="3" width="18.28515625" style="133" customWidth="1"/>
    <col min="4" max="4" width="20.42578125" style="133" customWidth="1"/>
    <col min="5" max="5" width="20" style="133" customWidth="1"/>
    <col min="6" max="6" width="17" style="133" customWidth="1"/>
    <col min="7" max="7" width="22.140625" style="133" customWidth="1"/>
    <col min="8" max="8" width="14.28515625" style="133" bestFit="1" customWidth="1"/>
    <col min="9" max="9" width="35.140625" style="133" customWidth="1"/>
    <col min="10" max="11" width="24.140625" style="133" customWidth="1"/>
    <col min="12" max="12" width="15.7109375" style="133" customWidth="1"/>
    <col min="13" max="13" width="16.85546875" style="133" customWidth="1"/>
    <col min="15" max="15" width="28.140625" customWidth="1"/>
  </cols>
  <sheetData>
    <row r="1" spans="1:26" ht="32.25" customHeight="1">
      <c r="A1" s="263" t="s">
        <v>46</v>
      </c>
      <c r="B1" s="264"/>
      <c r="C1" s="264"/>
      <c r="D1" s="264"/>
      <c r="E1" s="264"/>
      <c r="F1" s="264"/>
      <c r="G1" s="264"/>
      <c r="H1" s="264"/>
      <c r="I1" s="264"/>
      <c r="J1" s="264"/>
      <c r="K1" s="26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</row>
    <row r="2" spans="1:26" ht="29.25" customHeight="1">
      <c r="A2" s="276" t="s">
        <v>47</v>
      </c>
      <c r="B2" s="264"/>
      <c r="C2" s="264"/>
      <c r="D2" s="264"/>
      <c r="E2" s="264"/>
      <c r="F2" s="264"/>
      <c r="G2" s="264"/>
      <c r="H2" s="264"/>
      <c r="I2" s="264"/>
      <c r="J2" s="264"/>
      <c r="K2" s="262"/>
      <c r="L2" s="132"/>
      <c r="M2" s="132"/>
      <c r="N2" s="132"/>
      <c r="O2" s="206"/>
      <c r="P2" s="132"/>
      <c r="Q2" s="132"/>
      <c r="R2" s="132"/>
      <c r="S2" s="132"/>
      <c r="T2" s="132"/>
      <c r="U2" s="132"/>
      <c r="V2" s="132"/>
      <c r="W2" s="132"/>
      <c r="X2" s="132"/>
    </row>
    <row r="3" spans="1:26" ht="34.5" customHeight="1">
      <c r="A3" s="135" t="s">
        <v>48</v>
      </c>
      <c r="B3" s="136" t="s">
        <v>49</v>
      </c>
      <c r="C3" s="136" t="s">
        <v>50</v>
      </c>
      <c r="D3" s="136" t="s">
        <v>51</v>
      </c>
      <c r="E3" s="135" t="s">
        <v>52</v>
      </c>
      <c r="F3" s="136" t="s">
        <v>53</v>
      </c>
      <c r="G3" s="136" t="s">
        <v>54</v>
      </c>
      <c r="H3" s="136" t="s">
        <v>55</v>
      </c>
      <c r="I3" s="136" t="s">
        <v>56</v>
      </c>
      <c r="J3" s="136" t="s">
        <v>57</v>
      </c>
      <c r="K3" s="136" t="s">
        <v>58</v>
      </c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</row>
    <row r="4" spans="1:26" ht="30">
      <c r="A4" s="139" t="s">
        <v>59</v>
      </c>
      <c r="B4" s="319" t="s">
        <v>61</v>
      </c>
      <c r="C4" s="320" t="s">
        <v>61</v>
      </c>
      <c r="D4" s="328">
        <v>0</v>
      </c>
      <c r="E4" s="332">
        <v>0</v>
      </c>
      <c r="F4" s="333" t="s">
        <v>61</v>
      </c>
      <c r="G4" s="334" t="s">
        <v>61</v>
      </c>
      <c r="H4" s="333" t="s">
        <v>61</v>
      </c>
      <c r="I4" s="333" t="s">
        <v>61</v>
      </c>
      <c r="J4" s="333" t="s">
        <v>61</v>
      </c>
      <c r="K4" s="322">
        <v>2026</v>
      </c>
      <c r="L4" s="131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</row>
    <row r="5" spans="1:26" ht="30">
      <c r="A5" s="139" t="s">
        <v>60</v>
      </c>
      <c r="B5" s="319" t="s">
        <v>61</v>
      </c>
      <c r="C5" s="320" t="s">
        <v>61</v>
      </c>
      <c r="D5" s="328">
        <v>0</v>
      </c>
      <c r="E5" s="332">
        <v>0</v>
      </c>
      <c r="F5" s="333" t="s">
        <v>61</v>
      </c>
      <c r="G5" s="334" t="s">
        <v>61</v>
      </c>
      <c r="H5" s="333" t="s">
        <v>61</v>
      </c>
      <c r="I5" s="333" t="s">
        <v>61</v>
      </c>
      <c r="J5" s="333" t="s">
        <v>61</v>
      </c>
      <c r="K5" s="323"/>
      <c r="L5" s="207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</row>
    <row r="6" spans="1:26">
      <c r="A6" s="140" t="s">
        <v>10</v>
      </c>
      <c r="B6" s="319"/>
      <c r="C6" s="320"/>
      <c r="D6" s="330">
        <f>D7+D8+D9+D10+D11+D12+D13+D14+D15+D16+D17+D18</f>
        <v>458000</v>
      </c>
      <c r="E6" s="330">
        <f>E7+E8+E9+E10+E11+E12+E13+E14+E15+E16+E17+E18</f>
        <v>134250</v>
      </c>
      <c r="F6" s="333" t="s">
        <v>61</v>
      </c>
      <c r="G6" s="333" t="s">
        <v>61</v>
      </c>
      <c r="H6" s="333" t="s">
        <v>61</v>
      </c>
      <c r="I6" s="376" t="s">
        <v>61</v>
      </c>
      <c r="J6" s="333" t="s">
        <v>61</v>
      </c>
      <c r="K6" s="323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</row>
    <row r="7" spans="1:26" s="163" customFormat="1" ht="18.75">
      <c r="A7" s="144" t="s">
        <v>116</v>
      </c>
      <c r="B7" s="345">
        <v>9</v>
      </c>
      <c r="C7" s="329">
        <v>12000</v>
      </c>
      <c r="D7" s="328">
        <f>B7*C7</f>
        <v>108000</v>
      </c>
      <c r="E7" s="332">
        <f>VLOOKUP(A7,'Pagamento RH'!$C$7:$Q$18,15,FALSE)</f>
        <v>36000</v>
      </c>
      <c r="F7" s="335"/>
      <c r="G7" s="336"/>
      <c r="H7" s="336"/>
      <c r="I7" s="337"/>
      <c r="J7" s="338"/>
      <c r="K7" s="32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 spans="1:26" s="163" customFormat="1" ht="18.75">
      <c r="A8" s="144" t="s">
        <v>118</v>
      </c>
      <c r="B8" s="345">
        <v>9</v>
      </c>
      <c r="C8" s="329">
        <v>7000</v>
      </c>
      <c r="D8" s="328">
        <f t="shared" ref="D8:D23" si="0">B8*C8</f>
        <v>63000</v>
      </c>
      <c r="E8" s="332">
        <f>VLOOKUP(A8,'Pagamento RH'!$C$7:$Q$18,15,FALSE)</f>
        <v>21000</v>
      </c>
      <c r="F8" s="335"/>
      <c r="G8" s="336"/>
      <c r="H8" s="336"/>
      <c r="I8" s="337"/>
      <c r="J8" s="338"/>
      <c r="K8" s="32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</row>
    <row r="9" spans="1:26" s="163" customFormat="1" ht="18.75">
      <c r="A9" s="144" t="s">
        <v>120</v>
      </c>
      <c r="B9" s="346">
        <v>9</v>
      </c>
      <c r="C9" s="329">
        <v>5000</v>
      </c>
      <c r="D9" s="328">
        <f t="shared" si="0"/>
        <v>45000</v>
      </c>
      <c r="E9" s="332">
        <f>VLOOKUP(A9,'Pagamento RH'!$C$7:$Q$18,15,FALSE)</f>
        <v>10000</v>
      </c>
      <c r="F9" s="335"/>
      <c r="G9" s="336"/>
      <c r="H9" s="336"/>
      <c r="I9" s="337"/>
      <c r="J9" s="338"/>
      <c r="K9" s="32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</row>
    <row r="10" spans="1:26" s="163" customFormat="1" ht="18.75">
      <c r="A10" s="144" t="s">
        <v>122</v>
      </c>
      <c r="B10" s="346">
        <v>9</v>
      </c>
      <c r="C10" s="329">
        <v>5000</v>
      </c>
      <c r="D10" s="328">
        <f t="shared" si="0"/>
        <v>45000</v>
      </c>
      <c r="E10" s="332">
        <f>VLOOKUP(A10,'Pagamento RH'!$C$7:$Q$18,15,FALSE)</f>
        <v>10000</v>
      </c>
      <c r="F10" s="335"/>
      <c r="G10" s="336"/>
      <c r="H10" s="336"/>
      <c r="I10" s="337"/>
      <c r="J10" s="338"/>
      <c r="K10" s="32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</row>
    <row r="11" spans="1:26" s="163" customFormat="1" ht="18.75">
      <c r="A11" s="144" t="s">
        <v>124</v>
      </c>
      <c r="B11" s="346">
        <v>9</v>
      </c>
      <c r="C11" s="329">
        <v>5000</v>
      </c>
      <c r="D11" s="328">
        <f t="shared" si="0"/>
        <v>45000</v>
      </c>
      <c r="E11" s="332">
        <f>VLOOKUP(A11,'Pagamento RH'!$C$7:$Q$18,15,FALSE)</f>
        <v>15000</v>
      </c>
      <c r="F11" s="335"/>
      <c r="G11" s="336"/>
      <c r="H11" s="336"/>
      <c r="I11" s="337"/>
      <c r="J11" s="338"/>
      <c r="K11" s="32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</row>
    <row r="12" spans="1:26" s="163" customFormat="1" ht="18.75">
      <c r="A12" s="367" t="s">
        <v>126</v>
      </c>
      <c r="B12" s="346">
        <v>9</v>
      </c>
      <c r="C12" s="329">
        <v>5000</v>
      </c>
      <c r="D12" s="328">
        <f t="shared" si="0"/>
        <v>45000</v>
      </c>
      <c r="E12" s="332">
        <f>VLOOKUP(A12,'Pagamento RH'!$C$7:$Q$18,15,FALSE)</f>
        <v>10000</v>
      </c>
      <c r="F12" s="335"/>
      <c r="G12" s="336"/>
      <c r="H12" s="336"/>
      <c r="I12" s="337"/>
      <c r="J12" s="338"/>
      <c r="K12" s="32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</row>
    <row r="13" spans="1:26" s="163" customFormat="1" ht="18.75">
      <c r="A13" s="144" t="s">
        <v>128</v>
      </c>
      <c r="B13" s="346">
        <v>9</v>
      </c>
      <c r="C13" s="329">
        <v>2000</v>
      </c>
      <c r="D13" s="328">
        <f t="shared" si="0"/>
        <v>18000</v>
      </c>
      <c r="E13" s="332">
        <f>VLOOKUP(A13,'Pagamento RH'!$C$7:$Q$18,15,FALSE)</f>
        <v>6000</v>
      </c>
      <c r="F13" s="335"/>
      <c r="G13" s="336"/>
      <c r="H13" s="336"/>
      <c r="I13" s="337"/>
      <c r="J13" s="338"/>
      <c r="K13" s="32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</row>
    <row r="14" spans="1:26" s="163" customFormat="1" ht="18.75">
      <c r="A14" s="367" t="s">
        <v>130</v>
      </c>
      <c r="B14" s="346">
        <v>8</v>
      </c>
      <c r="C14" s="329">
        <v>2125</v>
      </c>
      <c r="D14" s="328">
        <f t="shared" si="0"/>
        <v>17000</v>
      </c>
      <c r="E14" s="332">
        <f>VLOOKUP(A14,'Pagamento RH'!$C$7:$Q$18,15,FALSE)</f>
        <v>4250</v>
      </c>
      <c r="F14" s="335"/>
      <c r="G14" s="336"/>
      <c r="H14" s="336"/>
      <c r="I14" s="337"/>
      <c r="J14" s="338"/>
      <c r="K14" s="32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</row>
    <row r="15" spans="1:26" s="163" customFormat="1" ht="18.75">
      <c r="A15" s="144" t="s">
        <v>132</v>
      </c>
      <c r="B15" s="346">
        <v>9</v>
      </c>
      <c r="C15" s="329">
        <v>2000</v>
      </c>
      <c r="D15" s="328">
        <f t="shared" si="0"/>
        <v>18000</v>
      </c>
      <c r="E15" s="332">
        <f>VLOOKUP(A15,'Pagamento RH'!$C$7:$Q$18,15,FALSE)</f>
        <v>6000</v>
      </c>
      <c r="F15" s="335"/>
      <c r="G15" s="336"/>
      <c r="H15" s="336"/>
      <c r="I15" s="337"/>
      <c r="J15" s="338"/>
      <c r="K15" s="32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</row>
    <row r="16" spans="1:26" s="163" customFormat="1" ht="18.75">
      <c r="A16" s="367" t="s">
        <v>136</v>
      </c>
      <c r="B16" s="346">
        <v>9</v>
      </c>
      <c r="C16" s="329">
        <v>2000</v>
      </c>
      <c r="D16" s="328">
        <f t="shared" si="0"/>
        <v>18000</v>
      </c>
      <c r="E16" s="332">
        <f>VLOOKUP(A16,'Pagamento RH'!$C$7:$Q$18,15,FALSE)</f>
        <v>4000</v>
      </c>
      <c r="F16" s="335"/>
      <c r="G16" s="336"/>
      <c r="H16" s="336"/>
      <c r="I16" s="337"/>
      <c r="J16" s="338"/>
      <c r="K16" s="32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</row>
    <row r="17" spans="1:24" s="163" customFormat="1" ht="18.75">
      <c r="A17" s="367" t="s">
        <v>134</v>
      </c>
      <c r="B17" s="346">
        <v>9</v>
      </c>
      <c r="C17" s="329">
        <v>2000</v>
      </c>
      <c r="D17" s="328">
        <f t="shared" si="0"/>
        <v>18000</v>
      </c>
      <c r="E17" s="332">
        <f>VLOOKUP(A17,'Pagamento RH'!$C$7:$Q$18,15,FALSE)</f>
        <v>6000</v>
      </c>
      <c r="F17" s="335"/>
      <c r="G17" s="336"/>
      <c r="H17" s="336"/>
      <c r="I17" s="337"/>
      <c r="J17" s="338"/>
      <c r="K17" s="32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</row>
    <row r="18" spans="1:24" s="163" customFormat="1" ht="18.75">
      <c r="A18" s="144" t="s">
        <v>138</v>
      </c>
      <c r="B18" s="346">
        <v>9</v>
      </c>
      <c r="C18" s="329">
        <v>2000</v>
      </c>
      <c r="D18" s="328">
        <f t="shared" si="0"/>
        <v>18000</v>
      </c>
      <c r="E18" s="332">
        <f>VLOOKUP(A18,'Pagamento RH'!$C$7:$Q$18,15,FALSE)</f>
        <v>6000</v>
      </c>
      <c r="F18" s="335"/>
      <c r="G18" s="336"/>
      <c r="H18" s="336"/>
      <c r="I18" s="337"/>
      <c r="J18" s="338"/>
      <c r="K18" s="32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</row>
    <row r="19" spans="1:24" ht="18.75">
      <c r="A19" s="321" t="s">
        <v>148</v>
      </c>
      <c r="B19" s="346"/>
      <c r="C19" s="339"/>
      <c r="D19" s="330">
        <f>D20</f>
        <v>22400</v>
      </c>
      <c r="E19" s="330">
        <f>E20</f>
        <v>8400</v>
      </c>
      <c r="F19" s="335"/>
      <c r="G19" s="336"/>
      <c r="H19" s="336"/>
      <c r="I19" s="337"/>
      <c r="J19" s="338"/>
      <c r="K19" s="323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</row>
    <row r="20" spans="1:24" s="163" customFormat="1" ht="18.75">
      <c r="A20" s="368" t="s">
        <v>141</v>
      </c>
      <c r="B20" s="369">
        <v>8</v>
      </c>
      <c r="C20" s="370">
        <v>2800</v>
      </c>
      <c r="D20" s="371">
        <f t="shared" si="0"/>
        <v>22400</v>
      </c>
      <c r="E20" s="372">
        <f>VLOOKUP(A20,'Pagamento RH'!C26:Q26,15,FALSE)</f>
        <v>8400</v>
      </c>
      <c r="F20" s="335"/>
      <c r="G20" s="336"/>
      <c r="H20" s="336"/>
      <c r="I20" s="337"/>
      <c r="J20" s="338"/>
      <c r="K20" s="32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</row>
    <row r="21" spans="1:24" ht="54" customHeight="1">
      <c r="A21" s="374" t="s">
        <v>164</v>
      </c>
      <c r="B21" s="346"/>
      <c r="C21" s="339"/>
      <c r="D21" s="330">
        <f>D22+D23</f>
        <v>8937</v>
      </c>
      <c r="E21" s="330">
        <f>E22+E23</f>
        <v>0</v>
      </c>
      <c r="F21" s="335"/>
      <c r="G21" s="340"/>
      <c r="H21" s="336"/>
      <c r="I21" s="337"/>
      <c r="J21" s="338"/>
      <c r="K21" s="323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</row>
    <row r="22" spans="1:24" s="326" customFormat="1" ht="18.75">
      <c r="A22" s="373" t="s">
        <v>169</v>
      </c>
      <c r="B22" s="346">
        <v>9</v>
      </c>
      <c r="C22" s="339">
        <v>900</v>
      </c>
      <c r="D22" s="328">
        <f t="shared" si="0"/>
        <v>8100</v>
      </c>
      <c r="E22" s="332">
        <v>0</v>
      </c>
      <c r="F22" s="335"/>
      <c r="G22" s="340"/>
      <c r="H22" s="336"/>
      <c r="I22" s="337"/>
      <c r="J22" s="338"/>
      <c r="K22" s="323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</row>
    <row r="23" spans="1:24" s="326" customFormat="1" ht="18.75">
      <c r="A23" s="373" t="s">
        <v>169</v>
      </c>
      <c r="B23" s="346">
        <v>9</v>
      </c>
      <c r="C23" s="339">
        <v>93</v>
      </c>
      <c r="D23" s="328">
        <f t="shared" si="0"/>
        <v>837</v>
      </c>
      <c r="E23" s="332">
        <v>0</v>
      </c>
      <c r="F23" s="335"/>
      <c r="G23" s="340"/>
      <c r="H23" s="336"/>
      <c r="I23" s="337"/>
      <c r="J23" s="338"/>
      <c r="K23" s="323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</row>
    <row r="24" spans="1:24" ht="18.75">
      <c r="A24" s="327" t="s">
        <v>152</v>
      </c>
      <c r="B24" s="346"/>
      <c r="C24" s="339"/>
      <c r="D24" s="328">
        <v>0</v>
      </c>
      <c r="E24" s="332">
        <v>0</v>
      </c>
      <c r="F24" s="335"/>
      <c r="G24" s="340"/>
      <c r="H24" s="336"/>
      <c r="I24" s="337"/>
      <c r="J24" s="338"/>
      <c r="K24" s="323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</row>
    <row r="25" spans="1:24" ht="30">
      <c r="A25" s="321" t="s">
        <v>165</v>
      </c>
      <c r="B25" s="346"/>
      <c r="C25" s="339"/>
      <c r="D25" s="330">
        <f>D26+D27+D29+D28</f>
        <v>1900</v>
      </c>
      <c r="E25" s="341"/>
      <c r="F25" s="335"/>
      <c r="G25" s="336"/>
      <c r="H25" s="336"/>
      <c r="I25" s="337"/>
      <c r="J25" s="338"/>
      <c r="K25" s="323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</row>
    <row r="26" spans="1:24" ht="18.75">
      <c r="A26" s="142" t="s">
        <v>62</v>
      </c>
      <c r="B26" s="346"/>
      <c r="C26" s="339"/>
      <c r="D26" s="328">
        <v>0</v>
      </c>
      <c r="E26" s="341">
        <v>0</v>
      </c>
      <c r="F26" s="335"/>
      <c r="G26" s="336"/>
      <c r="H26" s="336"/>
      <c r="I26" s="337"/>
      <c r="J26" s="338"/>
      <c r="K26" s="323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</row>
    <row r="27" spans="1:24" ht="18.75">
      <c r="A27" s="142" t="s">
        <v>63</v>
      </c>
      <c r="B27" s="346"/>
      <c r="C27" s="339"/>
      <c r="D27" s="328">
        <v>0</v>
      </c>
      <c r="E27" s="341">
        <v>0</v>
      </c>
      <c r="F27" s="335"/>
      <c r="G27" s="336"/>
      <c r="H27" s="336"/>
      <c r="I27" s="337"/>
      <c r="J27" s="338"/>
      <c r="K27" s="323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</row>
    <row r="28" spans="1:24" s="326" customFormat="1" ht="18.75">
      <c r="A28" s="142" t="s">
        <v>170</v>
      </c>
      <c r="B28" s="346">
        <v>1</v>
      </c>
      <c r="C28" s="339">
        <v>1000</v>
      </c>
      <c r="D28" s="328">
        <f t="shared" ref="D28" si="1">B28*C28</f>
        <v>1000</v>
      </c>
      <c r="E28" s="341"/>
      <c r="F28" s="335"/>
      <c r="G28" s="336"/>
      <c r="H28" s="336"/>
      <c r="I28" s="337"/>
      <c r="J28" s="338"/>
      <c r="K28" s="323"/>
      <c r="L28" s="325"/>
      <c r="M28" s="325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</row>
    <row r="29" spans="1:24" ht="30">
      <c r="A29" s="142" t="s">
        <v>166</v>
      </c>
      <c r="B29" s="346">
        <v>9</v>
      </c>
      <c r="C29" s="339">
        <v>100</v>
      </c>
      <c r="D29" s="328">
        <f t="shared" ref="D29:D31" si="2">B29*C29</f>
        <v>900</v>
      </c>
      <c r="E29" s="341">
        <v>0</v>
      </c>
      <c r="F29" s="335"/>
      <c r="G29" s="336"/>
      <c r="H29" s="336"/>
      <c r="I29" s="337"/>
      <c r="J29" s="338"/>
      <c r="K29" s="323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</row>
    <row r="30" spans="1:24" ht="30">
      <c r="A30" s="327" t="s">
        <v>167</v>
      </c>
      <c r="B30" s="346">
        <v>1</v>
      </c>
      <c r="C30" s="339">
        <v>60883</v>
      </c>
      <c r="D30" s="331">
        <f t="shared" si="2"/>
        <v>60883</v>
      </c>
      <c r="E30" s="342">
        <v>0</v>
      </c>
      <c r="F30" s="335"/>
      <c r="G30" s="336"/>
      <c r="H30" s="336"/>
      <c r="I30" s="337"/>
      <c r="J30" s="338"/>
      <c r="K30" s="323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</row>
    <row r="31" spans="1:24" ht="18.75">
      <c r="A31" s="327" t="s">
        <v>168</v>
      </c>
      <c r="B31" s="346">
        <v>1</v>
      </c>
      <c r="C31" s="339">
        <v>11380</v>
      </c>
      <c r="D31" s="331">
        <f t="shared" si="2"/>
        <v>11380</v>
      </c>
      <c r="E31" s="342">
        <v>0</v>
      </c>
      <c r="F31" s="335"/>
      <c r="G31" s="336"/>
      <c r="H31" s="336"/>
      <c r="I31" s="337"/>
      <c r="J31" s="338"/>
      <c r="K31" s="323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</row>
    <row r="32" spans="1:24" ht="18.75">
      <c r="A32" s="141" t="s">
        <v>18</v>
      </c>
      <c r="B32" s="346">
        <v>1</v>
      </c>
      <c r="C32" s="339">
        <v>5500</v>
      </c>
      <c r="D32" s="328">
        <f>C32*B32</f>
        <v>5500</v>
      </c>
      <c r="E32" s="343">
        <v>0</v>
      </c>
      <c r="F32" s="335"/>
      <c r="G32" s="344"/>
      <c r="H32" s="336"/>
      <c r="I32" s="337"/>
      <c r="J32" s="338"/>
      <c r="K32" s="323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</row>
    <row r="33" spans="1:24" ht="18.75">
      <c r="A33" s="278" t="s">
        <v>45</v>
      </c>
      <c r="B33" s="264"/>
      <c r="C33" s="262"/>
      <c r="D33" s="375">
        <f>D4+D5+D6+D19+D21+D24+D25+D30+D31+D32</f>
        <v>569000</v>
      </c>
      <c r="E33" s="375">
        <f>E4+E5+E6+E19+E21+E24+E25+E30+E31+E32</f>
        <v>142650</v>
      </c>
      <c r="F33" s="137"/>
      <c r="G33" s="137"/>
      <c r="H33" s="137"/>
      <c r="I33" s="137"/>
      <c r="J33" s="138"/>
      <c r="K33" s="324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</row>
    <row r="34" spans="1:24">
      <c r="A34" s="1"/>
      <c r="B34" s="112"/>
      <c r="C34" s="132"/>
      <c r="D34" s="208"/>
      <c r="E34" s="206"/>
      <c r="F34" s="132"/>
      <c r="G34" s="132"/>
      <c r="H34" s="209"/>
      <c r="I34" s="209"/>
      <c r="J34" s="208"/>
      <c r="K34" s="210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</row>
    <row r="35" spans="1:24">
      <c r="A35" s="1"/>
      <c r="B35" s="112"/>
      <c r="C35" s="132"/>
      <c r="D35" s="112"/>
      <c r="E35" s="207"/>
      <c r="F35" s="132"/>
      <c r="G35" s="206"/>
      <c r="H35" s="132"/>
      <c r="I35" s="132"/>
      <c r="J35" s="208"/>
      <c r="K35" s="210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</row>
    <row r="36" spans="1:24">
      <c r="A36" s="1"/>
      <c r="B36" s="112"/>
      <c r="C36" s="132"/>
      <c r="D36" s="112"/>
      <c r="E36" s="207"/>
      <c r="F36" s="132"/>
      <c r="G36" s="206"/>
      <c r="H36" s="132"/>
      <c r="I36" s="132"/>
      <c r="J36" s="112"/>
      <c r="K36" s="3"/>
      <c r="L36" s="132"/>
      <c r="M36" s="206"/>
      <c r="N36" s="67"/>
      <c r="O36" s="132"/>
      <c r="P36" s="132"/>
      <c r="Q36" s="132"/>
      <c r="R36" s="132"/>
      <c r="S36" s="132"/>
      <c r="T36" s="132"/>
      <c r="U36" s="132"/>
      <c r="V36" s="132"/>
      <c r="W36" s="132"/>
      <c r="X36" s="132"/>
    </row>
    <row r="37" spans="1:24">
      <c r="A37" s="272" t="s">
        <v>67</v>
      </c>
      <c r="B37" s="255"/>
      <c r="C37" s="255"/>
      <c r="D37" s="255"/>
      <c r="E37" s="255"/>
      <c r="F37" s="256"/>
      <c r="G37" s="209"/>
      <c r="H37" s="209"/>
      <c r="I37" s="209"/>
      <c r="J37" s="209"/>
      <c r="K37" s="210"/>
      <c r="L37" s="132"/>
      <c r="M37" s="206"/>
      <c r="N37" s="67"/>
      <c r="O37" s="132"/>
      <c r="P37" s="132"/>
      <c r="Q37" s="132"/>
      <c r="R37" s="132"/>
      <c r="S37" s="132"/>
      <c r="T37" s="132"/>
      <c r="U37" s="132"/>
      <c r="V37" s="132"/>
      <c r="W37" s="132"/>
      <c r="X37" s="132"/>
    </row>
    <row r="38" spans="1:24">
      <c r="A38" s="282" t="s">
        <v>68</v>
      </c>
      <c r="B38" s="255"/>
      <c r="C38" s="255"/>
      <c r="D38" s="255"/>
      <c r="E38" s="255"/>
      <c r="F38" s="256"/>
      <c r="G38" s="209"/>
      <c r="H38" s="209"/>
      <c r="I38" s="209"/>
      <c r="J38" s="209"/>
      <c r="K38" s="210"/>
      <c r="L38" s="132"/>
      <c r="M38" s="206"/>
      <c r="N38" s="67"/>
      <c r="O38" s="132"/>
      <c r="P38" s="132"/>
      <c r="Q38" s="132"/>
      <c r="R38" s="132"/>
      <c r="S38" s="132"/>
      <c r="T38" s="132"/>
      <c r="U38" s="132"/>
      <c r="V38" s="132"/>
      <c r="W38" s="132"/>
      <c r="X38" s="132"/>
    </row>
    <row r="39" spans="1:24" ht="15.75">
      <c r="A39" s="68" t="s">
        <v>48</v>
      </c>
      <c r="B39" s="69" t="s">
        <v>49</v>
      </c>
      <c r="C39" s="69" t="s">
        <v>50</v>
      </c>
      <c r="D39" s="69" t="s">
        <v>51</v>
      </c>
      <c r="E39" s="70" t="s">
        <v>69</v>
      </c>
      <c r="F39" s="71" t="s">
        <v>70</v>
      </c>
      <c r="G39" s="211"/>
      <c r="H39" s="211"/>
      <c r="I39" s="211"/>
      <c r="J39" s="211"/>
      <c r="K39" s="212"/>
      <c r="L39" s="132"/>
      <c r="M39" s="209"/>
      <c r="N39" s="67"/>
      <c r="O39" s="132"/>
      <c r="P39" s="132"/>
      <c r="Q39" s="132"/>
      <c r="R39" s="132"/>
      <c r="S39" s="132"/>
      <c r="T39" s="132"/>
      <c r="U39" s="132"/>
      <c r="V39" s="132"/>
      <c r="W39" s="132"/>
      <c r="X39" s="132"/>
    </row>
    <row r="40" spans="1:24" ht="15.75">
      <c r="A40" s="72">
        <v>1</v>
      </c>
      <c r="B40" s="73" t="s">
        <v>71</v>
      </c>
      <c r="C40" s="313" t="s">
        <v>162</v>
      </c>
      <c r="D40" s="213">
        <v>103000</v>
      </c>
      <c r="E40" s="213">
        <v>103000</v>
      </c>
      <c r="F40" s="314">
        <v>0</v>
      </c>
      <c r="G40" s="132"/>
      <c r="H40" s="132"/>
      <c r="I40" s="132"/>
      <c r="J40" s="132"/>
      <c r="K40" s="3"/>
      <c r="L40" s="132"/>
      <c r="M40" s="209"/>
      <c r="N40" s="67"/>
      <c r="O40" s="132"/>
      <c r="P40" s="132"/>
      <c r="Q40" s="132"/>
      <c r="R40" s="132"/>
      <c r="S40" s="132"/>
      <c r="T40" s="132"/>
      <c r="U40" s="132"/>
      <c r="V40" s="132"/>
      <c r="W40" s="132"/>
      <c r="X40" s="132"/>
    </row>
    <row r="41" spans="1:24" ht="15.75">
      <c r="A41" s="72">
        <v>2</v>
      </c>
      <c r="B41" s="73" t="s">
        <v>72</v>
      </c>
      <c r="C41" s="313"/>
      <c r="D41" s="213">
        <v>0</v>
      </c>
      <c r="E41" s="213">
        <v>0</v>
      </c>
      <c r="F41" s="314">
        <v>0</v>
      </c>
      <c r="G41" s="132"/>
      <c r="H41" s="132"/>
      <c r="I41" s="132"/>
      <c r="J41" s="132"/>
      <c r="K41" s="3"/>
      <c r="L41" s="132"/>
      <c r="M41" s="211"/>
      <c r="N41" s="67"/>
      <c r="O41" s="132"/>
      <c r="P41" s="132"/>
      <c r="Q41" s="132"/>
      <c r="R41" s="132"/>
      <c r="S41" s="132"/>
      <c r="T41" s="132"/>
      <c r="U41" s="132"/>
      <c r="V41" s="132"/>
      <c r="W41" s="132"/>
      <c r="X41" s="132"/>
    </row>
    <row r="42" spans="1:24" ht="15.75">
      <c r="A42" s="72">
        <v>3</v>
      </c>
      <c r="B42" s="73" t="s">
        <v>73</v>
      </c>
      <c r="C42" s="313"/>
      <c r="D42" s="213">
        <v>0</v>
      </c>
      <c r="E42" s="213">
        <v>0</v>
      </c>
      <c r="F42" s="314">
        <v>0</v>
      </c>
      <c r="G42" s="132"/>
      <c r="H42" s="132"/>
      <c r="I42" s="132"/>
      <c r="J42" s="132"/>
      <c r="K42" s="3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</row>
    <row r="43" spans="1:24" ht="15.75">
      <c r="A43" s="72">
        <v>4</v>
      </c>
      <c r="B43" s="73" t="s">
        <v>74</v>
      </c>
      <c r="C43" s="313"/>
      <c r="D43" s="213">
        <v>0</v>
      </c>
      <c r="E43" s="213">
        <v>0</v>
      </c>
      <c r="F43" s="314">
        <v>0</v>
      </c>
      <c r="G43" s="132"/>
      <c r="H43" s="132"/>
      <c r="I43" s="132"/>
      <c r="J43" s="132"/>
      <c r="K43" s="3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</row>
    <row r="44" spans="1:24" ht="15.75">
      <c r="A44" s="72">
        <v>5</v>
      </c>
      <c r="B44" s="73" t="s">
        <v>75</v>
      </c>
      <c r="C44" s="313"/>
      <c r="D44" s="213">
        <v>0</v>
      </c>
      <c r="E44" s="213">
        <v>0</v>
      </c>
      <c r="F44" s="314">
        <v>0</v>
      </c>
      <c r="G44" s="132"/>
      <c r="H44" s="132"/>
      <c r="I44" s="132"/>
      <c r="J44" s="132"/>
      <c r="K44" s="3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</row>
    <row r="45" spans="1:24" ht="15.75">
      <c r="A45" s="72">
        <v>6</v>
      </c>
      <c r="B45" s="73" t="s">
        <v>76</v>
      </c>
      <c r="C45" s="313"/>
      <c r="D45" s="213">
        <v>0</v>
      </c>
      <c r="E45" s="213">
        <v>0</v>
      </c>
      <c r="F45" s="315">
        <v>0</v>
      </c>
      <c r="K45" s="74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</row>
    <row r="46" spans="1:24" ht="15.75">
      <c r="A46" s="72">
        <v>7</v>
      </c>
      <c r="B46" s="73" t="s">
        <v>77</v>
      </c>
      <c r="C46" s="313"/>
      <c r="D46" s="213">
        <v>0</v>
      </c>
      <c r="E46" s="213">
        <v>0</v>
      </c>
      <c r="F46" s="315">
        <v>0</v>
      </c>
      <c r="K46" s="74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</row>
    <row r="47" spans="1:24" ht="15.75">
      <c r="A47" s="72">
        <v>8</v>
      </c>
      <c r="B47" s="73" t="s">
        <v>78</v>
      </c>
      <c r="C47" s="313" t="s">
        <v>163</v>
      </c>
      <c r="D47" s="213">
        <v>6000</v>
      </c>
      <c r="E47" s="213">
        <v>0</v>
      </c>
      <c r="F47" s="315">
        <v>0</v>
      </c>
      <c r="K47" s="74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</row>
    <row r="48" spans="1:24" ht="15.75">
      <c r="A48" s="72">
        <v>9</v>
      </c>
      <c r="B48" s="73" t="s">
        <v>79</v>
      </c>
      <c r="C48" s="313"/>
      <c r="D48" s="213">
        <v>0</v>
      </c>
      <c r="E48" s="213">
        <v>0</v>
      </c>
      <c r="F48" s="315">
        <v>0</v>
      </c>
      <c r="K48" s="74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</row>
    <row r="49" spans="1:24" ht="15.75">
      <c r="A49" s="273" t="s">
        <v>45</v>
      </c>
      <c r="B49" s="255"/>
      <c r="C49" s="256"/>
      <c r="D49" s="214">
        <f>SUM(D42)</f>
        <v>0</v>
      </c>
      <c r="E49" s="215">
        <f>SUM(E42)</f>
        <v>0</v>
      </c>
      <c r="F49" s="215">
        <f>SUM(F42)</f>
        <v>0</v>
      </c>
      <c r="K49" s="74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</row>
    <row r="50" spans="1:24" ht="15.75">
      <c r="A50" s="1"/>
      <c r="B50" s="208"/>
      <c r="C50" s="132"/>
      <c r="D50" s="112"/>
      <c r="E50" s="132"/>
      <c r="F50" s="132"/>
      <c r="G50" s="132"/>
      <c r="H50" s="216"/>
      <c r="I50" s="216"/>
      <c r="J50" s="112"/>
      <c r="K50" s="3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</row>
    <row r="51" spans="1:24">
      <c r="A51" s="75"/>
      <c r="B51" s="132"/>
      <c r="C51" s="132"/>
      <c r="D51" s="132"/>
      <c r="E51" s="132"/>
      <c r="F51" s="132"/>
      <c r="G51" s="132"/>
      <c r="H51" s="132"/>
      <c r="I51" s="132"/>
      <c r="J51" s="132"/>
      <c r="K51" s="3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</row>
    <row r="52" spans="1:24" ht="36.75" customHeight="1">
      <c r="A52" s="281" t="s">
        <v>80</v>
      </c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</row>
    <row r="53" spans="1:24" ht="36.75" customHeight="1">
      <c r="A53" s="277" t="s">
        <v>47</v>
      </c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2"/>
      <c r="M53" s="144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</row>
    <row r="54" spans="1:24" ht="30.75" customHeight="1">
      <c r="A54" s="145" t="s">
        <v>48</v>
      </c>
      <c r="B54" s="146" t="s">
        <v>49</v>
      </c>
      <c r="C54" s="146" t="s">
        <v>50</v>
      </c>
      <c r="D54" s="146" t="s">
        <v>51</v>
      </c>
      <c r="E54" s="145" t="s">
        <v>69</v>
      </c>
      <c r="F54" s="146" t="s">
        <v>18</v>
      </c>
      <c r="G54" s="146" t="s">
        <v>81</v>
      </c>
      <c r="H54" s="146" t="s">
        <v>82</v>
      </c>
      <c r="I54" s="146" t="s">
        <v>54</v>
      </c>
      <c r="J54" s="146" t="s">
        <v>83</v>
      </c>
      <c r="K54" s="147" t="s">
        <v>58</v>
      </c>
      <c r="L54" s="147" t="s">
        <v>70</v>
      </c>
      <c r="M54" s="147" t="s">
        <v>84</v>
      </c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</row>
    <row r="55" spans="1:24" ht="15.75">
      <c r="A55" s="148">
        <v>1</v>
      </c>
      <c r="B55" s="149">
        <v>46198</v>
      </c>
      <c r="C55" s="150" t="s">
        <v>85</v>
      </c>
      <c r="D55" s="311">
        <v>27500</v>
      </c>
      <c r="E55" s="217">
        <v>27500</v>
      </c>
      <c r="F55" s="217">
        <f t="shared" ref="F55:F63" si="3">E55*5%</f>
        <v>1375</v>
      </c>
      <c r="G55" s="217">
        <f t="shared" ref="G55:G63" si="4">E55-F55</f>
        <v>26125</v>
      </c>
      <c r="H55" s="310" t="s">
        <v>161</v>
      </c>
      <c r="I55" s="152">
        <v>46203</v>
      </c>
      <c r="J55" s="152">
        <v>46204</v>
      </c>
      <c r="K55" s="307">
        <v>2026</v>
      </c>
      <c r="L55" s="316">
        <v>0</v>
      </c>
      <c r="M55" s="316">
        <v>0</v>
      </c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</row>
    <row r="56" spans="1:24" ht="15.75">
      <c r="A56" s="148">
        <v>2</v>
      </c>
      <c r="B56" s="149">
        <v>46226</v>
      </c>
      <c r="C56" s="150" t="s">
        <v>86</v>
      </c>
      <c r="D56" s="217">
        <v>0</v>
      </c>
      <c r="E56" s="217">
        <v>0</v>
      </c>
      <c r="F56" s="217">
        <f t="shared" si="3"/>
        <v>0</v>
      </c>
      <c r="G56" s="217">
        <f t="shared" si="4"/>
        <v>0</v>
      </c>
      <c r="H56" s="151"/>
      <c r="I56" s="152"/>
      <c r="J56" s="152"/>
      <c r="K56" s="308"/>
      <c r="L56" s="316">
        <v>0</v>
      </c>
      <c r="M56" s="316">
        <v>0</v>
      </c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</row>
    <row r="57" spans="1:24" ht="15.75">
      <c r="A57" s="148">
        <v>3</v>
      </c>
      <c r="B57" s="149">
        <v>46261</v>
      </c>
      <c r="C57" s="150" t="s">
        <v>87</v>
      </c>
      <c r="D57" s="312">
        <v>27500</v>
      </c>
      <c r="E57" s="217">
        <v>0</v>
      </c>
      <c r="F57" s="218">
        <f t="shared" si="3"/>
        <v>0</v>
      </c>
      <c r="G57" s="217">
        <f t="shared" si="4"/>
        <v>0</v>
      </c>
      <c r="H57" s="153"/>
      <c r="I57" s="152"/>
      <c r="J57" s="152"/>
      <c r="K57" s="308"/>
      <c r="L57" s="317">
        <v>0</v>
      </c>
      <c r="M57" s="317">
        <v>0</v>
      </c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</row>
    <row r="58" spans="1:24" ht="15.75">
      <c r="A58" s="148">
        <v>4</v>
      </c>
      <c r="B58" s="149">
        <v>46289</v>
      </c>
      <c r="C58" s="150" t="s">
        <v>88</v>
      </c>
      <c r="D58" s="217">
        <v>0</v>
      </c>
      <c r="E58" s="219">
        <v>0</v>
      </c>
      <c r="F58" s="220">
        <f t="shared" si="3"/>
        <v>0</v>
      </c>
      <c r="G58" s="219">
        <f t="shared" si="4"/>
        <v>0</v>
      </c>
      <c r="H58" s="154"/>
      <c r="I58" s="152"/>
      <c r="J58" s="152"/>
      <c r="K58" s="308"/>
      <c r="L58" s="317">
        <v>0</v>
      </c>
      <c r="M58" s="317">
        <v>0</v>
      </c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</row>
    <row r="59" spans="1:24" ht="15.75">
      <c r="A59" s="148">
        <v>5</v>
      </c>
      <c r="B59" s="149">
        <v>46317</v>
      </c>
      <c r="C59" s="150" t="s">
        <v>89</v>
      </c>
      <c r="D59" s="217">
        <v>27500</v>
      </c>
      <c r="E59" s="219">
        <v>0</v>
      </c>
      <c r="F59" s="220">
        <f t="shared" si="3"/>
        <v>0</v>
      </c>
      <c r="G59" s="219">
        <f t="shared" si="4"/>
        <v>0</v>
      </c>
      <c r="H59" s="154"/>
      <c r="I59" s="152"/>
      <c r="J59" s="152"/>
      <c r="K59" s="308"/>
      <c r="L59" s="317">
        <v>0</v>
      </c>
      <c r="M59" s="317">
        <v>0</v>
      </c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</row>
    <row r="60" spans="1:24" ht="15.75">
      <c r="A60" s="148">
        <v>6</v>
      </c>
      <c r="B60" s="149">
        <v>46352</v>
      </c>
      <c r="C60" s="150" t="s">
        <v>90</v>
      </c>
      <c r="D60" s="217">
        <v>0</v>
      </c>
      <c r="E60" s="219">
        <v>0</v>
      </c>
      <c r="F60" s="220">
        <f t="shared" si="3"/>
        <v>0</v>
      </c>
      <c r="G60" s="219">
        <f t="shared" si="4"/>
        <v>0</v>
      </c>
      <c r="H60" s="155"/>
      <c r="I60" s="156"/>
      <c r="J60" s="144"/>
      <c r="K60" s="308"/>
      <c r="L60" s="317">
        <v>0</v>
      </c>
      <c r="M60" s="317">
        <v>0</v>
      </c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</row>
    <row r="61" spans="1:24" ht="15.75">
      <c r="A61" s="148">
        <v>7</v>
      </c>
      <c r="B61" s="149">
        <v>46382</v>
      </c>
      <c r="C61" s="150" t="s">
        <v>91</v>
      </c>
      <c r="D61" s="217">
        <v>27500</v>
      </c>
      <c r="E61" s="217">
        <v>0</v>
      </c>
      <c r="F61" s="218">
        <f t="shared" si="3"/>
        <v>0</v>
      </c>
      <c r="G61" s="217">
        <f t="shared" si="4"/>
        <v>0</v>
      </c>
      <c r="H61" s="134"/>
      <c r="I61" s="134"/>
      <c r="J61" s="134"/>
      <c r="K61" s="308"/>
      <c r="L61" s="318">
        <v>0</v>
      </c>
      <c r="M61" s="318">
        <v>0</v>
      </c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</row>
    <row r="62" spans="1:24" ht="15.75">
      <c r="A62" s="148">
        <v>8</v>
      </c>
      <c r="B62" s="149">
        <v>46413</v>
      </c>
      <c r="C62" s="150" t="s">
        <v>92</v>
      </c>
      <c r="D62" s="217">
        <v>0</v>
      </c>
      <c r="E62" s="217">
        <v>0</v>
      </c>
      <c r="F62" s="218">
        <f t="shared" si="3"/>
        <v>0</v>
      </c>
      <c r="G62" s="217">
        <f t="shared" si="4"/>
        <v>0</v>
      </c>
      <c r="H62" s="144"/>
      <c r="I62" s="157"/>
      <c r="J62" s="144"/>
      <c r="K62" s="308"/>
      <c r="L62" s="318">
        <v>0</v>
      </c>
      <c r="M62" s="318">
        <v>0</v>
      </c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</row>
    <row r="63" spans="1:24" ht="15.75">
      <c r="A63" s="148">
        <v>9</v>
      </c>
      <c r="B63" s="149">
        <v>46444</v>
      </c>
      <c r="C63" s="150" t="s">
        <v>93</v>
      </c>
      <c r="D63" s="217">
        <v>0</v>
      </c>
      <c r="E63" s="217">
        <v>0</v>
      </c>
      <c r="F63" s="218">
        <f t="shared" si="3"/>
        <v>0</v>
      </c>
      <c r="G63" s="217">
        <f t="shared" si="4"/>
        <v>0</v>
      </c>
      <c r="H63" s="144"/>
      <c r="I63" s="157"/>
      <c r="J63" s="144"/>
      <c r="K63" s="309"/>
      <c r="L63" s="318">
        <v>0</v>
      </c>
      <c r="M63" s="318">
        <v>0</v>
      </c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</row>
    <row r="64" spans="1:24" ht="15.75">
      <c r="A64" s="280" t="s">
        <v>45</v>
      </c>
      <c r="B64" s="264"/>
      <c r="C64" s="262"/>
      <c r="D64" s="221">
        <f>SUM(D55:D63)</f>
        <v>110000</v>
      </c>
      <c r="E64" s="221">
        <f>SUM(E55:E63)</f>
        <v>27500</v>
      </c>
      <c r="F64" s="221">
        <f>SUM(F55:F63)</f>
        <v>1375</v>
      </c>
      <c r="G64" s="221">
        <f>SUM(G55:G63)</f>
        <v>26125</v>
      </c>
      <c r="H64" s="144"/>
      <c r="I64" s="144"/>
      <c r="J64" s="144"/>
      <c r="K64" s="158"/>
      <c r="L64" s="318">
        <v>0</v>
      </c>
      <c r="M64" s="318">
        <v>0</v>
      </c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</row>
    <row r="65" spans="1:24">
      <c r="A65" s="75"/>
      <c r="B65" s="132"/>
      <c r="C65" s="132"/>
      <c r="D65" s="206"/>
      <c r="E65" s="206"/>
      <c r="F65" s="132"/>
      <c r="G65" s="76"/>
      <c r="H65" s="132"/>
      <c r="I65" s="132"/>
      <c r="J65" s="206"/>
      <c r="K65" s="210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</row>
    <row r="66" spans="1:24">
      <c r="A66" s="1"/>
      <c r="B66" s="112"/>
      <c r="C66" s="132"/>
      <c r="D66" s="112"/>
      <c r="E66" s="132"/>
      <c r="F66" s="132"/>
      <c r="G66" s="132"/>
      <c r="H66" s="132"/>
      <c r="I66" s="206"/>
      <c r="J66" s="206"/>
      <c r="K66" s="3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</row>
    <row r="67" spans="1:24">
      <c r="A67" s="1"/>
      <c r="B67" s="112"/>
      <c r="C67" s="132"/>
      <c r="D67" s="279" t="s">
        <v>94</v>
      </c>
      <c r="E67" s="256"/>
      <c r="F67" s="132"/>
      <c r="G67" s="274"/>
      <c r="H67" s="275"/>
      <c r="I67" s="208"/>
      <c r="J67" s="206"/>
      <c r="K67" s="3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</row>
    <row r="68" spans="1:24">
      <c r="A68" s="1"/>
      <c r="B68" s="112"/>
      <c r="C68" s="132"/>
      <c r="D68" s="222"/>
      <c r="E68" s="77" t="e">
        <f t="shared" ref="E68:E75" si="5">D68/$D$75</f>
        <v>#DIV/0!</v>
      </c>
      <c r="F68" s="7"/>
      <c r="G68" s="223"/>
      <c r="H68" s="78"/>
      <c r="I68" s="206"/>
      <c r="J68" s="206"/>
      <c r="K68" s="3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</row>
    <row r="69" spans="1:24">
      <c r="A69" s="1"/>
      <c r="B69" s="112"/>
      <c r="C69" s="132"/>
      <c r="D69" s="222"/>
      <c r="E69" s="77" t="e">
        <f t="shared" si="5"/>
        <v>#DIV/0!</v>
      </c>
      <c r="F69" s="7"/>
      <c r="G69" s="223"/>
      <c r="H69" s="78"/>
      <c r="I69" s="224"/>
      <c r="J69" s="206"/>
      <c r="K69" s="3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</row>
    <row r="70" spans="1:24">
      <c r="A70" s="1"/>
      <c r="B70" s="112"/>
      <c r="C70" s="132"/>
      <c r="D70" s="222"/>
      <c r="E70" s="77" t="e">
        <f t="shared" si="5"/>
        <v>#DIV/0!</v>
      </c>
      <c r="F70" s="7"/>
      <c r="G70" s="223"/>
      <c r="H70" s="78"/>
      <c r="I70" s="206"/>
      <c r="J70" s="206"/>
      <c r="K70" s="3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</row>
    <row r="71" spans="1:24">
      <c r="A71" s="1"/>
      <c r="B71" s="112"/>
      <c r="C71" s="132"/>
      <c r="D71" s="222"/>
      <c r="E71" s="77" t="e">
        <f t="shared" si="5"/>
        <v>#DIV/0!</v>
      </c>
      <c r="F71" s="7"/>
      <c r="G71" s="225"/>
      <c r="H71" s="79"/>
      <c r="I71" s="32"/>
      <c r="J71" s="132"/>
      <c r="K71" s="3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</row>
    <row r="72" spans="1:24">
      <c r="A72" s="1"/>
      <c r="B72" s="112"/>
      <c r="C72" s="132"/>
      <c r="D72" s="222"/>
      <c r="E72" s="77" t="e">
        <f t="shared" si="5"/>
        <v>#DIV/0!</v>
      </c>
      <c r="F72" s="7"/>
      <c r="G72" s="223"/>
      <c r="H72" s="78"/>
      <c r="I72" s="132"/>
      <c r="J72" s="112"/>
      <c r="K72" s="3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</row>
    <row r="73" spans="1:24">
      <c r="A73" s="1"/>
      <c r="B73" s="112"/>
      <c r="C73" s="132"/>
      <c r="D73" s="222"/>
      <c r="E73" s="77" t="e">
        <f t="shared" si="5"/>
        <v>#DIV/0!</v>
      </c>
      <c r="F73" s="7"/>
      <c r="G73" s="223"/>
      <c r="H73" s="78"/>
      <c r="I73" s="132"/>
      <c r="J73" s="112"/>
      <c r="K73" s="3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</row>
    <row r="74" spans="1:24">
      <c r="A74" s="1"/>
      <c r="B74" s="112"/>
      <c r="C74" s="132"/>
      <c r="D74" s="222"/>
      <c r="E74" s="77" t="e">
        <f t="shared" si="5"/>
        <v>#DIV/0!</v>
      </c>
      <c r="F74" s="7"/>
      <c r="G74" s="223"/>
      <c r="H74" s="78"/>
      <c r="I74" s="132"/>
      <c r="J74" s="112"/>
      <c r="K74" s="3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</row>
    <row r="75" spans="1:24">
      <c r="A75" s="1"/>
      <c r="B75" s="112"/>
      <c r="C75" s="132"/>
      <c r="D75" s="80">
        <f>SUM(D68:D74)</f>
        <v>0</v>
      </c>
      <c r="E75" s="77" t="e">
        <f t="shared" si="5"/>
        <v>#DIV/0!</v>
      </c>
      <c r="F75" s="132"/>
      <c r="G75" s="81"/>
      <c r="H75" s="78"/>
      <c r="I75" s="132"/>
      <c r="J75" s="112"/>
      <c r="K75" s="3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</row>
    <row r="76" spans="1:24">
      <c r="A76" s="1"/>
      <c r="B76" s="112"/>
      <c r="C76" s="132"/>
      <c r="D76" s="112"/>
      <c r="E76" s="132"/>
      <c r="F76" s="132"/>
      <c r="G76" s="132"/>
      <c r="H76" s="132"/>
      <c r="I76" s="132"/>
      <c r="J76" s="112"/>
      <c r="K76" s="3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</row>
    <row r="77" spans="1:24">
      <c r="A77" s="1"/>
      <c r="B77" s="112"/>
      <c r="C77" s="132"/>
      <c r="D77" s="112"/>
      <c r="E77" s="132"/>
      <c r="F77" s="132"/>
      <c r="G77" s="132"/>
      <c r="H77" s="132"/>
      <c r="I77" s="132"/>
      <c r="J77" s="112"/>
      <c r="K77" s="3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</row>
    <row r="78" spans="1:24">
      <c r="A78" s="1"/>
      <c r="B78" s="112"/>
      <c r="C78" s="132"/>
      <c r="D78" s="112"/>
      <c r="E78" s="132"/>
      <c r="F78" s="132"/>
      <c r="G78" s="132"/>
      <c r="H78" s="132"/>
      <c r="I78" s="132"/>
      <c r="J78" s="112"/>
      <c r="K78" s="3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</row>
    <row r="79" spans="1:24">
      <c r="A79" s="1"/>
      <c r="B79" s="112"/>
      <c r="C79" s="132"/>
      <c r="D79" s="112"/>
      <c r="E79" s="132"/>
      <c r="F79" s="132"/>
      <c r="G79" s="132"/>
      <c r="H79" s="132"/>
      <c r="I79" s="132"/>
      <c r="J79" s="112"/>
      <c r="K79" s="3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</row>
    <row r="80" spans="1:24">
      <c r="A80" s="1"/>
      <c r="B80" s="112"/>
      <c r="C80" s="132"/>
      <c r="D80" s="112"/>
      <c r="E80" s="132"/>
      <c r="F80" s="132"/>
      <c r="G80" s="132"/>
      <c r="H80" s="132"/>
      <c r="I80" s="132"/>
      <c r="J80" s="112"/>
      <c r="K80" s="3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</row>
    <row r="81" spans="1:24">
      <c r="A81" s="1"/>
      <c r="B81" s="112"/>
      <c r="C81" s="132"/>
      <c r="D81" s="112"/>
      <c r="E81" s="132"/>
      <c r="F81" s="132"/>
      <c r="G81" s="132"/>
      <c r="H81" s="132"/>
      <c r="I81" s="132"/>
      <c r="J81" s="112"/>
      <c r="K81" s="3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</row>
    <row r="82" spans="1:24">
      <c r="A82" s="1"/>
      <c r="B82" s="112"/>
      <c r="C82" s="132"/>
      <c r="D82" s="112"/>
      <c r="E82" s="132"/>
      <c r="F82" s="132"/>
      <c r="G82" s="132"/>
      <c r="H82" s="132"/>
      <c r="I82" s="132"/>
      <c r="J82" s="112"/>
      <c r="K82" s="3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</row>
    <row r="83" spans="1:24">
      <c r="A83" s="1"/>
      <c r="B83" s="112"/>
      <c r="C83" s="132"/>
      <c r="D83" s="112"/>
      <c r="E83" s="132"/>
      <c r="F83" s="132"/>
      <c r="G83" s="132"/>
      <c r="H83" s="132"/>
      <c r="I83" s="132"/>
      <c r="J83" s="112"/>
      <c r="K83" s="3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</row>
    <row r="84" spans="1:24">
      <c r="A84" s="1"/>
      <c r="B84" s="112"/>
      <c r="C84" s="132"/>
      <c r="D84" s="112"/>
      <c r="E84" s="132"/>
      <c r="F84" s="132"/>
      <c r="G84" s="132"/>
      <c r="H84" s="132"/>
      <c r="I84" s="132"/>
      <c r="J84" s="112"/>
      <c r="K84" s="3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</row>
    <row r="85" spans="1:24">
      <c r="A85" s="1"/>
      <c r="B85" s="112"/>
      <c r="C85" s="132"/>
      <c r="D85" s="112"/>
      <c r="E85" s="132"/>
      <c r="F85" s="132"/>
      <c r="G85" s="132"/>
      <c r="H85" s="132"/>
      <c r="I85" s="132"/>
      <c r="J85" s="112"/>
      <c r="K85" s="3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</row>
    <row r="86" spans="1:24">
      <c r="A86" s="1"/>
      <c r="B86" s="112"/>
      <c r="C86" s="132"/>
      <c r="D86" s="112"/>
      <c r="E86" s="132"/>
      <c r="F86" s="132"/>
      <c r="G86" s="132"/>
      <c r="H86" s="132"/>
      <c r="I86" s="132"/>
      <c r="J86" s="112"/>
      <c r="K86" s="3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</row>
    <row r="87" spans="1:24">
      <c r="A87" s="1"/>
      <c r="B87" s="112"/>
      <c r="C87" s="132"/>
      <c r="D87" s="112"/>
      <c r="E87" s="132"/>
      <c r="F87" s="132"/>
      <c r="G87" s="132"/>
      <c r="H87" s="132"/>
      <c r="I87" s="132"/>
      <c r="J87" s="112"/>
      <c r="K87" s="3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</row>
    <row r="88" spans="1:24">
      <c r="A88" s="1"/>
      <c r="B88" s="112"/>
      <c r="C88" s="132"/>
      <c r="D88" s="112"/>
      <c r="E88" s="132"/>
      <c r="F88" s="132"/>
      <c r="G88" s="132"/>
      <c r="H88" s="132"/>
      <c r="I88" s="132"/>
      <c r="J88" s="112"/>
      <c r="K88" s="3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</row>
    <row r="89" spans="1:24">
      <c r="A89" s="1"/>
      <c r="B89" s="112"/>
      <c r="C89" s="132"/>
      <c r="D89" s="112"/>
      <c r="E89" s="132"/>
      <c r="F89" s="132"/>
      <c r="G89" s="132"/>
      <c r="H89" s="132"/>
      <c r="I89" s="132"/>
      <c r="J89" s="112"/>
      <c r="K89" s="3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</row>
    <row r="90" spans="1:24">
      <c r="A90" s="1"/>
      <c r="B90" s="112"/>
      <c r="C90" s="132"/>
      <c r="D90" s="112"/>
      <c r="E90" s="132"/>
      <c r="F90" s="132"/>
      <c r="G90" s="132"/>
      <c r="H90" s="132"/>
      <c r="I90" s="132"/>
      <c r="J90" s="112"/>
      <c r="K90" s="3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</row>
    <row r="91" spans="1:24">
      <c r="A91" s="1"/>
      <c r="B91" s="112"/>
      <c r="C91" s="132"/>
      <c r="D91" s="112"/>
      <c r="E91" s="132"/>
      <c r="F91" s="132"/>
      <c r="G91" s="132"/>
      <c r="H91" s="132"/>
      <c r="I91" s="132"/>
      <c r="J91" s="112"/>
      <c r="K91" s="3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</row>
    <row r="92" spans="1:24">
      <c r="A92" s="1"/>
      <c r="B92" s="112"/>
      <c r="C92" s="132"/>
      <c r="D92" s="112"/>
      <c r="E92" s="132"/>
      <c r="F92" s="132"/>
      <c r="G92" s="132"/>
      <c r="H92" s="132"/>
      <c r="I92" s="132"/>
      <c r="J92" s="112"/>
      <c r="K92" s="3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</row>
    <row r="93" spans="1:24">
      <c r="A93" s="1"/>
      <c r="B93" s="112"/>
      <c r="C93" s="132"/>
      <c r="D93" s="112"/>
      <c r="E93" s="132"/>
      <c r="F93" s="132"/>
      <c r="G93" s="132"/>
      <c r="H93" s="132"/>
      <c r="I93" s="132"/>
      <c r="J93" s="112"/>
      <c r="K93" s="3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</row>
    <row r="94" spans="1:24">
      <c r="A94" s="1"/>
      <c r="B94" s="112"/>
      <c r="C94" s="132"/>
      <c r="D94" s="112"/>
      <c r="E94" s="132"/>
      <c r="F94" s="132"/>
      <c r="G94" s="132"/>
      <c r="H94" s="132"/>
      <c r="I94" s="132"/>
      <c r="J94" s="112"/>
      <c r="K94" s="3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</row>
    <row r="95" spans="1:24">
      <c r="A95" s="1"/>
      <c r="B95" s="112"/>
      <c r="C95" s="132"/>
      <c r="D95" s="112"/>
      <c r="E95" s="132"/>
      <c r="F95" s="132"/>
      <c r="G95" s="132"/>
      <c r="H95" s="132"/>
      <c r="I95" s="132"/>
      <c r="J95" s="112"/>
      <c r="K95" s="3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</row>
    <row r="96" spans="1:24">
      <c r="A96" s="1"/>
      <c r="B96" s="112"/>
      <c r="C96" s="132"/>
      <c r="D96" s="112"/>
      <c r="E96" s="132"/>
      <c r="F96" s="132"/>
      <c r="G96" s="132"/>
      <c r="H96" s="132"/>
      <c r="I96" s="132"/>
      <c r="J96" s="112"/>
      <c r="K96" s="3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</row>
    <row r="97" spans="1:24">
      <c r="A97" s="1"/>
      <c r="B97" s="112"/>
      <c r="C97" s="132"/>
      <c r="D97" s="112"/>
      <c r="E97" s="132"/>
      <c r="F97" s="132"/>
      <c r="G97" s="132"/>
      <c r="H97" s="132"/>
      <c r="I97" s="132"/>
      <c r="J97" s="112"/>
      <c r="K97" s="3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</row>
    <row r="98" spans="1:24">
      <c r="A98" s="1"/>
      <c r="B98" s="112"/>
      <c r="C98" s="132"/>
      <c r="D98" s="112"/>
      <c r="E98" s="132"/>
      <c r="F98" s="132"/>
      <c r="G98" s="132"/>
      <c r="H98" s="132"/>
      <c r="I98" s="132"/>
      <c r="J98" s="112"/>
      <c r="K98" s="3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</row>
    <row r="99" spans="1:24">
      <c r="A99" s="1"/>
      <c r="B99" s="112"/>
      <c r="C99" s="132"/>
      <c r="D99" s="112"/>
      <c r="E99" s="132"/>
      <c r="F99" s="132"/>
      <c r="G99" s="132"/>
      <c r="H99" s="132"/>
      <c r="I99" s="132"/>
      <c r="J99" s="112"/>
      <c r="K99" s="3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</row>
    <row r="100" spans="1:24">
      <c r="A100" s="1"/>
      <c r="B100" s="112"/>
      <c r="C100" s="132"/>
      <c r="D100" s="112"/>
      <c r="E100" s="132"/>
      <c r="F100" s="132"/>
      <c r="G100" s="132"/>
      <c r="H100" s="132"/>
      <c r="I100" s="132"/>
      <c r="J100" s="112"/>
      <c r="K100" s="3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</row>
    <row r="101" spans="1:24">
      <c r="A101" s="1"/>
      <c r="B101" s="112"/>
      <c r="C101" s="132"/>
      <c r="D101" s="112"/>
      <c r="E101" s="132"/>
      <c r="F101" s="132"/>
      <c r="G101" s="132"/>
      <c r="H101" s="132"/>
      <c r="I101" s="132"/>
      <c r="J101" s="112"/>
      <c r="K101" s="3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</row>
    <row r="102" spans="1:24">
      <c r="A102" s="1"/>
      <c r="B102" s="112"/>
      <c r="C102" s="132"/>
      <c r="D102" s="112"/>
      <c r="E102" s="132"/>
      <c r="F102" s="132"/>
      <c r="G102" s="132"/>
      <c r="H102" s="132"/>
      <c r="I102" s="132"/>
      <c r="J102" s="112"/>
      <c r="K102" s="3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</row>
    <row r="103" spans="1:24">
      <c r="A103" s="1"/>
      <c r="B103" s="112"/>
      <c r="C103" s="132"/>
      <c r="D103" s="112"/>
      <c r="E103" s="132"/>
      <c r="F103" s="132"/>
      <c r="G103" s="132"/>
      <c r="H103" s="132"/>
      <c r="I103" s="132"/>
      <c r="J103" s="112"/>
      <c r="K103" s="3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</row>
    <row r="104" spans="1:24">
      <c r="A104" s="1"/>
      <c r="B104" s="112"/>
      <c r="C104" s="132"/>
      <c r="D104" s="112"/>
      <c r="E104" s="132"/>
      <c r="F104" s="132"/>
      <c r="G104" s="132"/>
      <c r="H104" s="132"/>
      <c r="I104" s="132"/>
      <c r="J104" s="112"/>
      <c r="K104" s="3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</row>
    <row r="105" spans="1:24">
      <c r="A105" s="1"/>
      <c r="B105" s="112"/>
      <c r="C105" s="132"/>
      <c r="D105" s="112"/>
      <c r="E105" s="132"/>
      <c r="F105" s="132"/>
      <c r="G105" s="132"/>
      <c r="H105" s="132"/>
      <c r="I105" s="132"/>
      <c r="J105" s="112"/>
      <c r="K105" s="3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</row>
    <row r="106" spans="1:24">
      <c r="A106" s="1"/>
      <c r="B106" s="112"/>
      <c r="C106" s="132"/>
      <c r="D106" s="112"/>
      <c r="E106" s="132"/>
      <c r="F106" s="132"/>
      <c r="G106" s="132"/>
      <c r="H106" s="132"/>
      <c r="I106" s="132"/>
      <c r="J106" s="112"/>
      <c r="K106" s="3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</row>
    <row r="107" spans="1:24">
      <c r="A107" s="1"/>
      <c r="B107" s="112"/>
      <c r="C107" s="132"/>
      <c r="D107" s="112"/>
      <c r="E107" s="132"/>
      <c r="F107" s="132"/>
      <c r="G107" s="132"/>
      <c r="H107" s="132"/>
      <c r="I107" s="132"/>
      <c r="J107" s="112"/>
      <c r="K107" s="3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</row>
    <row r="108" spans="1:24">
      <c r="A108" s="1"/>
      <c r="B108" s="112"/>
      <c r="C108" s="132"/>
      <c r="D108" s="112"/>
      <c r="E108" s="132"/>
      <c r="F108" s="132"/>
      <c r="G108" s="132"/>
      <c r="H108" s="132"/>
      <c r="I108" s="132"/>
      <c r="J108" s="112"/>
      <c r="K108" s="3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</row>
    <row r="109" spans="1:24">
      <c r="A109" s="1"/>
      <c r="B109" s="112"/>
      <c r="C109" s="132"/>
      <c r="D109" s="112"/>
      <c r="E109" s="132"/>
      <c r="F109" s="132"/>
      <c r="G109" s="132"/>
      <c r="H109" s="132"/>
      <c r="I109" s="132"/>
      <c r="J109" s="112"/>
      <c r="K109" s="3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</row>
    <row r="110" spans="1:24">
      <c r="A110" s="1"/>
      <c r="B110" s="112"/>
      <c r="C110" s="132"/>
      <c r="D110" s="112"/>
      <c r="E110" s="132"/>
      <c r="F110" s="132"/>
      <c r="G110" s="132"/>
      <c r="H110" s="132"/>
      <c r="I110" s="132"/>
      <c r="J110" s="112"/>
      <c r="K110" s="3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</row>
    <row r="111" spans="1:24">
      <c r="A111" s="1"/>
      <c r="B111" s="112"/>
      <c r="C111" s="132"/>
      <c r="D111" s="112"/>
      <c r="E111" s="132"/>
      <c r="F111" s="132"/>
      <c r="G111" s="132"/>
      <c r="H111" s="132"/>
      <c r="I111" s="132"/>
      <c r="J111" s="112"/>
      <c r="K111" s="3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</row>
    <row r="112" spans="1:24">
      <c r="A112" s="1"/>
      <c r="B112" s="112"/>
      <c r="C112" s="132"/>
      <c r="D112" s="112"/>
      <c r="E112" s="132"/>
      <c r="F112" s="132"/>
      <c r="G112" s="132"/>
      <c r="H112" s="132"/>
      <c r="I112" s="132"/>
      <c r="J112" s="112"/>
      <c r="K112" s="3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</row>
    <row r="113" spans="1:24">
      <c r="A113" s="1"/>
      <c r="B113" s="112"/>
      <c r="C113" s="132"/>
      <c r="D113" s="112"/>
      <c r="E113" s="132"/>
      <c r="F113" s="132"/>
      <c r="G113" s="132"/>
      <c r="H113" s="132"/>
      <c r="I113" s="132"/>
      <c r="J113" s="112"/>
      <c r="K113" s="3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</row>
    <row r="114" spans="1:24">
      <c r="A114" s="1"/>
      <c r="B114" s="112"/>
      <c r="C114" s="132"/>
      <c r="D114" s="112"/>
      <c r="E114" s="132"/>
      <c r="F114" s="132"/>
      <c r="G114" s="132"/>
      <c r="H114" s="132"/>
      <c r="I114" s="132"/>
      <c r="J114" s="112"/>
      <c r="K114" s="3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</row>
    <row r="115" spans="1:24">
      <c r="A115" s="1"/>
      <c r="B115" s="112"/>
      <c r="C115" s="132"/>
      <c r="D115" s="112"/>
      <c r="E115" s="132"/>
      <c r="F115" s="132"/>
      <c r="G115" s="132"/>
      <c r="H115" s="132"/>
      <c r="I115" s="132"/>
      <c r="J115" s="112"/>
      <c r="K115" s="3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</row>
    <row r="116" spans="1:24">
      <c r="A116" s="1"/>
      <c r="B116" s="112"/>
      <c r="C116" s="132"/>
      <c r="D116" s="112"/>
      <c r="E116" s="132"/>
      <c r="F116" s="132"/>
      <c r="G116" s="132"/>
      <c r="H116" s="132"/>
      <c r="I116" s="132"/>
      <c r="J116" s="112"/>
      <c r="K116" s="3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</row>
    <row r="117" spans="1:24">
      <c r="A117" s="1"/>
      <c r="B117" s="112"/>
      <c r="C117" s="132"/>
      <c r="D117" s="112"/>
      <c r="E117" s="132"/>
      <c r="F117" s="132"/>
      <c r="G117" s="132"/>
      <c r="H117" s="132"/>
      <c r="I117" s="132"/>
      <c r="J117" s="112"/>
      <c r="K117" s="3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</row>
    <row r="118" spans="1:24">
      <c r="A118" s="1"/>
      <c r="B118" s="112"/>
      <c r="C118" s="132"/>
      <c r="D118" s="112"/>
      <c r="E118" s="132"/>
      <c r="F118" s="132"/>
      <c r="G118" s="132"/>
      <c r="H118" s="132"/>
      <c r="I118" s="132"/>
      <c r="J118" s="112"/>
      <c r="K118" s="3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</row>
    <row r="119" spans="1:24">
      <c r="A119" s="1"/>
      <c r="B119" s="112"/>
      <c r="C119" s="132"/>
      <c r="D119" s="112"/>
      <c r="E119" s="132"/>
      <c r="F119" s="132"/>
      <c r="G119" s="132"/>
      <c r="H119" s="132"/>
      <c r="I119" s="132"/>
      <c r="J119" s="112"/>
      <c r="K119" s="3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</row>
    <row r="120" spans="1:24">
      <c r="A120" s="1"/>
      <c r="B120" s="112"/>
      <c r="C120" s="132"/>
      <c r="D120" s="112"/>
      <c r="E120" s="132"/>
      <c r="F120" s="132"/>
      <c r="G120" s="132"/>
      <c r="H120" s="132"/>
      <c r="I120" s="132"/>
      <c r="J120" s="112"/>
      <c r="K120" s="3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</row>
    <row r="121" spans="1:24">
      <c r="A121" s="1"/>
      <c r="B121" s="112"/>
      <c r="C121" s="132"/>
      <c r="D121" s="112"/>
      <c r="E121" s="132"/>
      <c r="F121" s="132"/>
      <c r="G121" s="132"/>
      <c r="H121" s="132"/>
      <c r="I121" s="132"/>
      <c r="J121" s="112"/>
      <c r="K121" s="3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</row>
    <row r="122" spans="1:24">
      <c r="A122" s="1"/>
      <c r="B122" s="112"/>
      <c r="C122" s="132"/>
      <c r="D122" s="112"/>
      <c r="E122" s="132"/>
      <c r="F122" s="132"/>
      <c r="G122" s="132"/>
      <c r="H122" s="132"/>
      <c r="I122" s="132"/>
      <c r="J122" s="112"/>
      <c r="K122" s="3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</row>
    <row r="123" spans="1:24">
      <c r="A123" s="1"/>
      <c r="B123" s="112"/>
      <c r="C123" s="132"/>
      <c r="D123" s="112"/>
      <c r="E123" s="132"/>
      <c r="F123" s="132"/>
      <c r="G123" s="132"/>
      <c r="H123" s="132"/>
      <c r="I123" s="132"/>
      <c r="J123" s="112"/>
      <c r="K123" s="3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</row>
    <row r="124" spans="1:24">
      <c r="A124" s="1"/>
      <c r="B124" s="112"/>
      <c r="C124" s="132"/>
      <c r="D124" s="112"/>
      <c r="E124" s="132"/>
      <c r="F124" s="132"/>
      <c r="G124" s="132"/>
      <c r="H124" s="132"/>
      <c r="I124" s="132"/>
      <c r="J124" s="112"/>
      <c r="K124" s="3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</row>
    <row r="125" spans="1:24">
      <c r="A125" s="1"/>
      <c r="B125" s="112"/>
      <c r="C125" s="132"/>
      <c r="D125" s="112"/>
      <c r="E125" s="132"/>
      <c r="F125" s="132"/>
      <c r="G125" s="132"/>
      <c r="H125" s="132"/>
      <c r="I125" s="132"/>
      <c r="J125" s="112"/>
      <c r="K125" s="3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</row>
    <row r="126" spans="1:24">
      <c r="A126" s="1"/>
      <c r="B126" s="112"/>
      <c r="C126" s="132"/>
      <c r="D126" s="112"/>
      <c r="E126" s="132"/>
      <c r="F126" s="132"/>
      <c r="G126" s="132"/>
      <c r="H126" s="132"/>
      <c r="I126" s="132"/>
      <c r="J126" s="112"/>
      <c r="K126" s="3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</row>
    <row r="127" spans="1:24">
      <c r="A127" s="1"/>
      <c r="B127" s="112"/>
      <c r="C127" s="132"/>
      <c r="D127" s="112"/>
      <c r="E127" s="132"/>
      <c r="F127" s="132"/>
      <c r="G127" s="132"/>
      <c r="H127" s="132"/>
      <c r="I127" s="132"/>
      <c r="J127" s="112"/>
      <c r="K127" s="3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</row>
    <row r="128" spans="1:24">
      <c r="A128" s="1"/>
      <c r="B128" s="112"/>
      <c r="C128" s="132"/>
      <c r="D128" s="112"/>
      <c r="E128" s="132"/>
      <c r="F128" s="132"/>
      <c r="G128" s="132"/>
      <c r="H128" s="132"/>
      <c r="I128" s="132"/>
      <c r="J128" s="112"/>
      <c r="K128" s="3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</row>
    <row r="129" spans="1:24">
      <c r="A129" s="1"/>
      <c r="B129" s="112"/>
      <c r="C129" s="132"/>
      <c r="D129" s="112"/>
      <c r="E129" s="132"/>
      <c r="F129" s="132"/>
      <c r="G129" s="132"/>
      <c r="H129" s="132"/>
      <c r="I129" s="132"/>
      <c r="J129" s="112"/>
      <c r="K129" s="3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</row>
    <row r="130" spans="1:24">
      <c r="A130" s="1"/>
      <c r="B130" s="112"/>
      <c r="C130" s="132"/>
      <c r="D130" s="112"/>
      <c r="E130" s="132"/>
      <c r="F130" s="132"/>
      <c r="G130" s="132"/>
      <c r="H130" s="132"/>
      <c r="I130" s="132"/>
      <c r="J130" s="112"/>
      <c r="K130" s="3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</row>
    <row r="131" spans="1:24">
      <c r="A131" s="1"/>
      <c r="B131" s="112"/>
      <c r="C131" s="132"/>
      <c r="D131" s="112"/>
      <c r="E131" s="132"/>
      <c r="F131" s="132"/>
      <c r="G131" s="132"/>
      <c r="H131" s="132"/>
      <c r="I131" s="132"/>
      <c r="J131" s="112"/>
      <c r="K131" s="3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</row>
    <row r="132" spans="1:24">
      <c r="A132" s="1"/>
      <c r="B132" s="112"/>
      <c r="C132" s="132"/>
      <c r="D132" s="112"/>
      <c r="E132" s="132"/>
      <c r="F132" s="132"/>
      <c r="G132" s="132"/>
      <c r="H132" s="132"/>
      <c r="I132" s="132"/>
      <c r="J132" s="112"/>
      <c r="K132" s="3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</row>
    <row r="133" spans="1:24">
      <c r="A133" s="1"/>
      <c r="B133" s="112"/>
      <c r="C133" s="132"/>
      <c r="D133" s="112"/>
      <c r="E133" s="132"/>
      <c r="F133" s="132"/>
      <c r="G133" s="132"/>
      <c r="H133" s="132"/>
      <c r="I133" s="132"/>
      <c r="J133" s="112"/>
      <c r="K133" s="3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</row>
    <row r="134" spans="1:24">
      <c r="A134" s="1"/>
      <c r="B134" s="112"/>
      <c r="C134" s="132"/>
      <c r="D134" s="112"/>
      <c r="E134" s="132"/>
      <c r="F134" s="132"/>
      <c r="G134" s="132"/>
      <c r="H134" s="132"/>
      <c r="I134" s="132"/>
      <c r="J134" s="112"/>
      <c r="K134" s="3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</row>
    <row r="135" spans="1:24">
      <c r="A135" s="1"/>
      <c r="B135" s="112"/>
      <c r="C135" s="132"/>
      <c r="D135" s="112"/>
      <c r="E135" s="132"/>
      <c r="F135" s="132"/>
      <c r="G135" s="132"/>
      <c r="H135" s="132"/>
      <c r="I135" s="132"/>
      <c r="J135" s="112"/>
      <c r="K135" s="3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</row>
    <row r="136" spans="1:24">
      <c r="A136" s="1"/>
      <c r="B136" s="112"/>
      <c r="C136" s="132"/>
      <c r="D136" s="112"/>
      <c r="E136" s="132"/>
      <c r="F136" s="132"/>
      <c r="G136" s="132"/>
      <c r="H136" s="132"/>
      <c r="I136" s="132"/>
      <c r="J136" s="112"/>
      <c r="K136" s="3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</row>
    <row r="137" spans="1:24">
      <c r="A137" s="1"/>
      <c r="B137" s="112"/>
      <c r="C137" s="132"/>
      <c r="D137" s="112"/>
      <c r="E137" s="132"/>
      <c r="F137" s="132"/>
      <c r="G137" s="132"/>
      <c r="H137" s="132"/>
      <c r="I137" s="132"/>
      <c r="J137" s="112"/>
      <c r="K137" s="3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</row>
    <row r="138" spans="1:24">
      <c r="A138" s="1"/>
      <c r="B138" s="112"/>
      <c r="C138" s="132"/>
      <c r="D138" s="112"/>
      <c r="E138" s="132"/>
      <c r="F138" s="132"/>
      <c r="G138" s="132"/>
      <c r="H138" s="132"/>
      <c r="I138" s="132"/>
      <c r="J138" s="112"/>
      <c r="K138" s="3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</row>
    <row r="139" spans="1:24">
      <c r="A139" s="1"/>
      <c r="B139" s="112"/>
      <c r="C139" s="132"/>
      <c r="D139" s="112"/>
      <c r="E139" s="132"/>
      <c r="F139" s="132"/>
      <c r="G139" s="132"/>
      <c r="H139" s="132"/>
      <c r="I139" s="132"/>
      <c r="J139" s="112"/>
      <c r="K139" s="3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</row>
    <row r="140" spans="1:24">
      <c r="A140" s="1"/>
      <c r="B140" s="112"/>
      <c r="C140" s="132"/>
      <c r="D140" s="112"/>
      <c r="E140" s="132"/>
      <c r="F140" s="132"/>
      <c r="G140" s="132"/>
      <c r="H140" s="132"/>
      <c r="I140" s="132"/>
      <c r="J140" s="112"/>
      <c r="K140" s="3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</row>
    <row r="141" spans="1:24">
      <c r="A141" s="1"/>
      <c r="B141" s="112"/>
      <c r="C141" s="132"/>
      <c r="D141" s="112"/>
      <c r="E141" s="132"/>
      <c r="F141" s="132"/>
      <c r="G141" s="132"/>
      <c r="H141" s="132"/>
      <c r="I141" s="132"/>
      <c r="J141" s="112"/>
      <c r="K141" s="3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</row>
    <row r="142" spans="1:24">
      <c r="A142" s="1"/>
      <c r="B142" s="112"/>
      <c r="C142" s="132"/>
      <c r="D142" s="112"/>
      <c r="E142" s="132"/>
      <c r="F142" s="132"/>
      <c r="G142" s="132"/>
      <c r="H142" s="132"/>
      <c r="I142" s="132"/>
      <c r="J142" s="112"/>
      <c r="K142" s="3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</row>
    <row r="143" spans="1:24">
      <c r="A143" s="1"/>
      <c r="B143" s="112"/>
      <c r="C143" s="132"/>
      <c r="D143" s="112"/>
      <c r="E143" s="132"/>
      <c r="F143" s="132"/>
      <c r="G143" s="132"/>
      <c r="H143" s="132"/>
      <c r="I143" s="132"/>
      <c r="J143" s="112"/>
      <c r="K143" s="3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</row>
    <row r="144" spans="1:24">
      <c r="A144" s="1"/>
      <c r="B144" s="112"/>
      <c r="C144" s="132"/>
      <c r="D144" s="112"/>
      <c r="E144" s="132"/>
      <c r="F144" s="132"/>
      <c r="G144" s="132"/>
      <c r="H144" s="132"/>
      <c r="I144" s="132"/>
      <c r="J144" s="112"/>
      <c r="K144" s="3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</row>
    <row r="145" spans="1:24">
      <c r="A145" s="1"/>
      <c r="B145" s="112"/>
      <c r="C145" s="132"/>
      <c r="D145" s="112"/>
      <c r="E145" s="132"/>
      <c r="F145" s="132"/>
      <c r="G145" s="132"/>
      <c r="H145" s="132"/>
      <c r="I145" s="132"/>
      <c r="J145" s="112"/>
      <c r="K145" s="3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</row>
    <row r="146" spans="1:24">
      <c r="A146" s="1"/>
      <c r="B146" s="112"/>
      <c r="C146" s="132"/>
      <c r="D146" s="112"/>
      <c r="E146" s="132"/>
      <c r="F146" s="132"/>
      <c r="G146" s="132"/>
      <c r="H146" s="132"/>
      <c r="I146" s="132"/>
      <c r="J146" s="112"/>
      <c r="K146" s="3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</row>
    <row r="147" spans="1:24">
      <c r="A147" s="1"/>
      <c r="B147" s="112"/>
      <c r="C147" s="132"/>
      <c r="D147" s="112"/>
      <c r="E147" s="132"/>
      <c r="F147" s="132"/>
      <c r="G147" s="132"/>
      <c r="H147" s="132"/>
      <c r="I147" s="132"/>
      <c r="J147" s="112"/>
      <c r="K147" s="3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</row>
    <row r="148" spans="1:24">
      <c r="A148" s="1"/>
      <c r="B148" s="112"/>
      <c r="C148" s="132"/>
      <c r="D148" s="112"/>
      <c r="E148" s="132"/>
      <c r="F148" s="132"/>
      <c r="G148" s="132"/>
      <c r="H148" s="132"/>
      <c r="I148" s="132"/>
      <c r="J148" s="112"/>
      <c r="K148" s="3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</row>
    <row r="149" spans="1:24">
      <c r="A149" s="1"/>
      <c r="B149" s="112"/>
      <c r="C149" s="132"/>
      <c r="D149" s="112"/>
      <c r="E149" s="132"/>
      <c r="F149" s="132"/>
      <c r="G149" s="132"/>
      <c r="H149" s="132"/>
      <c r="I149" s="132"/>
      <c r="J149" s="112"/>
      <c r="K149" s="3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</row>
    <row r="150" spans="1:24">
      <c r="A150" s="1"/>
      <c r="B150" s="112"/>
      <c r="C150" s="132"/>
      <c r="D150" s="112"/>
      <c r="E150" s="132"/>
      <c r="F150" s="132"/>
      <c r="G150" s="132"/>
      <c r="H150" s="132"/>
      <c r="I150" s="132"/>
      <c r="J150" s="112"/>
      <c r="K150" s="3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</row>
    <row r="151" spans="1:24">
      <c r="A151" s="1"/>
      <c r="B151" s="112"/>
      <c r="C151" s="132"/>
      <c r="D151" s="112"/>
      <c r="E151" s="132"/>
      <c r="F151" s="132"/>
      <c r="G151" s="132"/>
      <c r="H151" s="132"/>
      <c r="I151" s="132"/>
      <c r="J151" s="112"/>
      <c r="K151" s="3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</row>
    <row r="152" spans="1:24">
      <c r="A152" s="1"/>
      <c r="B152" s="112"/>
      <c r="C152" s="132"/>
      <c r="D152" s="112"/>
      <c r="E152" s="132"/>
      <c r="F152" s="132"/>
      <c r="G152" s="132"/>
      <c r="H152" s="132"/>
      <c r="I152" s="132"/>
      <c r="J152" s="112"/>
      <c r="K152" s="3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</row>
    <row r="153" spans="1:24">
      <c r="A153" s="1"/>
      <c r="B153" s="112"/>
      <c r="C153" s="132"/>
      <c r="D153" s="112"/>
      <c r="E153" s="132"/>
      <c r="F153" s="132"/>
      <c r="G153" s="132"/>
      <c r="H153" s="132"/>
      <c r="I153" s="132"/>
      <c r="J153" s="112"/>
      <c r="K153" s="3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</row>
    <row r="154" spans="1:24">
      <c r="A154" s="1"/>
      <c r="B154" s="112"/>
      <c r="C154" s="132"/>
      <c r="D154" s="112"/>
      <c r="E154" s="132"/>
      <c r="F154" s="132"/>
      <c r="G154" s="132"/>
      <c r="H154" s="132"/>
      <c r="I154" s="132"/>
      <c r="J154" s="112"/>
      <c r="K154" s="3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</row>
    <row r="155" spans="1:24">
      <c r="A155" s="1"/>
      <c r="B155" s="112"/>
      <c r="C155" s="132"/>
      <c r="D155" s="112"/>
      <c r="E155" s="132"/>
      <c r="F155" s="132"/>
      <c r="G155" s="132"/>
      <c r="H155" s="132"/>
      <c r="I155" s="132"/>
      <c r="J155" s="112"/>
      <c r="K155" s="3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</row>
    <row r="156" spans="1:24">
      <c r="A156" s="1"/>
      <c r="B156" s="112"/>
      <c r="C156" s="132"/>
      <c r="D156" s="112"/>
      <c r="E156" s="132"/>
      <c r="F156" s="132"/>
      <c r="G156" s="132"/>
      <c r="H156" s="132"/>
      <c r="I156" s="132"/>
      <c r="J156" s="112"/>
      <c r="K156" s="3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</row>
    <row r="157" spans="1:24">
      <c r="A157" s="1"/>
      <c r="B157" s="112"/>
      <c r="C157" s="132"/>
      <c r="D157" s="112"/>
      <c r="E157" s="132"/>
      <c r="F157" s="132"/>
      <c r="G157" s="132"/>
      <c r="H157" s="132"/>
      <c r="I157" s="132"/>
      <c r="J157" s="112"/>
      <c r="K157" s="3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</row>
    <row r="158" spans="1:24">
      <c r="A158" s="1"/>
      <c r="B158" s="112"/>
      <c r="C158" s="132"/>
      <c r="D158" s="112"/>
      <c r="E158" s="132"/>
      <c r="F158" s="132"/>
      <c r="G158" s="132"/>
      <c r="H158" s="132"/>
      <c r="I158" s="132"/>
      <c r="J158" s="112"/>
      <c r="K158" s="3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</row>
    <row r="159" spans="1:24">
      <c r="A159" s="1"/>
      <c r="B159" s="112"/>
      <c r="C159" s="132"/>
      <c r="D159" s="112"/>
      <c r="E159" s="132"/>
      <c r="F159" s="132"/>
      <c r="G159" s="132"/>
      <c r="H159" s="132"/>
      <c r="I159" s="132"/>
      <c r="J159" s="112"/>
      <c r="K159" s="3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</row>
    <row r="160" spans="1:24">
      <c r="A160" s="1"/>
      <c r="B160" s="112"/>
      <c r="C160" s="132"/>
      <c r="D160" s="112"/>
      <c r="E160" s="132"/>
      <c r="F160" s="132"/>
      <c r="G160" s="132"/>
      <c r="H160" s="132"/>
      <c r="I160" s="132"/>
      <c r="J160" s="112"/>
      <c r="K160" s="3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</row>
    <row r="161" spans="1:24">
      <c r="A161" s="1"/>
      <c r="B161" s="112"/>
      <c r="C161" s="132"/>
      <c r="D161" s="112"/>
      <c r="E161" s="132"/>
      <c r="F161" s="132"/>
      <c r="G161" s="132"/>
      <c r="H161" s="132"/>
      <c r="I161" s="132"/>
      <c r="J161" s="112"/>
      <c r="K161" s="3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</row>
    <row r="162" spans="1:24">
      <c r="A162" s="1"/>
      <c r="B162" s="112"/>
      <c r="C162" s="132"/>
      <c r="D162" s="112"/>
      <c r="E162" s="132"/>
      <c r="F162" s="132"/>
      <c r="G162" s="132"/>
      <c r="H162" s="132"/>
      <c r="I162" s="132"/>
      <c r="J162" s="112"/>
      <c r="K162" s="3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</row>
    <row r="163" spans="1:24">
      <c r="A163" s="1"/>
      <c r="B163" s="112"/>
      <c r="C163" s="132"/>
      <c r="D163" s="112"/>
      <c r="E163" s="132"/>
      <c r="F163" s="132"/>
      <c r="G163" s="132"/>
      <c r="H163" s="132"/>
      <c r="I163" s="132"/>
      <c r="J163" s="112"/>
      <c r="K163" s="3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</row>
    <row r="164" spans="1:24">
      <c r="A164" s="1"/>
      <c r="B164" s="112"/>
      <c r="C164" s="132"/>
      <c r="D164" s="112"/>
      <c r="E164" s="132"/>
      <c r="F164" s="132"/>
      <c r="G164" s="132"/>
      <c r="H164" s="132"/>
      <c r="I164" s="132"/>
      <c r="J164" s="112"/>
      <c r="K164" s="3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</row>
    <row r="165" spans="1:24">
      <c r="A165" s="1"/>
      <c r="B165" s="112"/>
      <c r="C165" s="132"/>
      <c r="D165" s="112"/>
      <c r="E165" s="132"/>
      <c r="F165" s="132"/>
      <c r="G165" s="132"/>
      <c r="H165" s="132"/>
      <c r="I165" s="132"/>
      <c r="J165" s="112"/>
      <c r="K165" s="3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</row>
    <row r="166" spans="1:24">
      <c r="A166" s="1"/>
      <c r="B166" s="112"/>
      <c r="C166" s="132"/>
      <c r="D166" s="112"/>
      <c r="E166" s="132"/>
      <c r="F166" s="132"/>
      <c r="G166" s="132"/>
      <c r="H166" s="132"/>
      <c r="I166" s="132"/>
      <c r="J166" s="112"/>
      <c r="K166" s="3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</row>
    <row r="167" spans="1:24">
      <c r="A167" s="1"/>
      <c r="B167" s="112"/>
      <c r="C167" s="132"/>
      <c r="D167" s="112"/>
      <c r="E167" s="132"/>
      <c r="F167" s="132"/>
      <c r="G167" s="132"/>
      <c r="H167" s="132"/>
      <c r="I167" s="132"/>
      <c r="J167" s="112"/>
      <c r="K167" s="3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</row>
    <row r="168" spans="1:24">
      <c r="A168" s="1"/>
      <c r="B168" s="112"/>
      <c r="C168" s="132"/>
      <c r="D168" s="112"/>
      <c r="E168" s="132"/>
      <c r="F168" s="132"/>
      <c r="G168" s="132"/>
      <c r="H168" s="132"/>
      <c r="I168" s="132"/>
      <c r="J168" s="112"/>
      <c r="K168" s="3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</row>
    <row r="169" spans="1:24">
      <c r="A169" s="1"/>
      <c r="B169" s="112"/>
      <c r="C169" s="132"/>
      <c r="D169" s="112"/>
      <c r="E169" s="132"/>
      <c r="F169" s="132"/>
      <c r="G169" s="132"/>
      <c r="H169" s="132"/>
      <c r="I169" s="132"/>
      <c r="J169" s="112"/>
      <c r="K169" s="3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</row>
    <row r="170" spans="1:24">
      <c r="A170" s="1"/>
      <c r="B170" s="112"/>
      <c r="C170" s="132"/>
      <c r="D170" s="112"/>
      <c r="E170" s="132"/>
      <c r="F170" s="132"/>
      <c r="G170" s="132"/>
      <c r="H170" s="132"/>
      <c r="I170" s="132"/>
      <c r="J170" s="112"/>
      <c r="K170" s="3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</row>
    <row r="171" spans="1:24">
      <c r="A171" s="1"/>
      <c r="B171" s="112"/>
      <c r="C171" s="132"/>
      <c r="D171" s="112"/>
      <c r="E171" s="132"/>
      <c r="F171" s="132"/>
      <c r="G171" s="132"/>
      <c r="H171" s="132"/>
      <c r="I171" s="132"/>
      <c r="J171" s="112"/>
      <c r="K171" s="3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</row>
    <row r="172" spans="1:24">
      <c r="A172" s="1"/>
      <c r="B172" s="112"/>
      <c r="C172" s="132"/>
      <c r="D172" s="112"/>
      <c r="E172" s="132"/>
      <c r="F172" s="132"/>
      <c r="G172" s="132"/>
      <c r="H172" s="132"/>
      <c r="I172" s="132"/>
      <c r="J172" s="112"/>
      <c r="K172" s="3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</row>
    <row r="173" spans="1:24">
      <c r="A173" s="1"/>
      <c r="B173" s="112"/>
      <c r="C173" s="132"/>
      <c r="D173" s="112"/>
      <c r="E173" s="132"/>
      <c r="F173" s="132"/>
      <c r="G173" s="132"/>
      <c r="H173" s="132"/>
      <c r="I173" s="132"/>
      <c r="J173" s="112"/>
      <c r="K173" s="3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</row>
    <row r="174" spans="1:24">
      <c r="A174" s="1"/>
      <c r="B174" s="112"/>
      <c r="C174" s="132"/>
      <c r="D174" s="112"/>
      <c r="E174" s="132"/>
      <c r="F174" s="132"/>
      <c r="G174" s="132"/>
      <c r="H174" s="132"/>
      <c r="I174" s="132"/>
      <c r="J174" s="112"/>
      <c r="K174" s="3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</row>
    <row r="175" spans="1:24">
      <c r="A175" s="1"/>
      <c r="B175" s="112"/>
      <c r="C175" s="132"/>
      <c r="D175" s="112"/>
      <c r="E175" s="132"/>
      <c r="F175" s="132"/>
      <c r="G175" s="132"/>
      <c r="H175" s="132"/>
      <c r="I175" s="132"/>
      <c r="J175" s="112"/>
      <c r="K175" s="3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</row>
    <row r="176" spans="1:24">
      <c r="A176" s="1"/>
      <c r="B176" s="112"/>
      <c r="C176" s="132"/>
      <c r="D176" s="112"/>
      <c r="E176" s="132"/>
      <c r="F176" s="132"/>
      <c r="G176" s="132"/>
      <c r="H176" s="132"/>
      <c r="I176" s="132"/>
      <c r="J176" s="112"/>
      <c r="K176" s="3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</row>
    <row r="177" spans="1:24">
      <c r="A177" s="1"/>
      <c r="B177" s="112"/>
      <c r="C177" s="132"/>
      <c r="D177" s="112"/>
      <c r="E177" s="132"/>
      <c r="F177" s="132"/>
      <c r="G177" s="132"/>
      <c r="H177" s="132"/>
      <c r="I177" s="132"/>
      <c r="J177" s="112"/>
      <c r="K177" s="3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</row>
    <row r="178" spans="1:24">
      <c r="A178" s="1"/>
      <c r="B178" s="112"/>
      <c r="C178" s="132"/>
      <c r="D178" s="112"/>
      <c r="E178" s="132"/>
      <c r="F178" s="132"/>
      <c r="G178" s="132"/>
      <c r="H178" s="132"/>
      <c r="I178" s="132"/>
      <c r="J178" s="112"/>
      <c r="K178" s="3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</row>
    <row r="179" spans="1:24">
      <c r="A179" s="1"/>
      <c r="B179" s="112"/>
      <c r="C179" s="132"/>
      <c r="D179" s="112"/>
      <c r="E179" s="132"/>
      <c r="F179" s="132"/>
      <c r="G179" s="132"/>
      <c r="H179" s="132"/>
      <c r="I179" s="132"/>
      <c r="J179" s="112"/>
      <c r="K179" s="3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</row>
    <row r="180" spans="1:24">
      <c r="A180" s="1"/>
      <c r="B180" s="112"/>
      <c r="C180" s="132"/>
      <c r="D180" s="112"/>
      <c r="E180" s="132"/>
      <c r="F180" s="132"/>
      <c r="G180" s="132"/>
      <c r="H180" s="132"/>
      <c r="I180" s="132"/>
      <c r="J180" s="112"/>
      <c r="K180" s="3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</row>
    <row r="181" spans="1:24">
      <c r="A181" s="1"/>
      <c r="B181" s="112"/>
      <c r="C181" s="132"/>
      <c r="D181" s="112"/>
      <c r="E181" s="132"/>
      <c r="F181" s="132"/>
      <c r="G181" s="132"/>
      <c r="H181" s="132"/>
      <c r="I181" s="132"/>
      <c r="J181" s="112"/>
      <c r="K181" s="3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</row>
    <row r="182" spans="1:24">
      <c r="A182" s="1"/>
      <c r="B182" s="112"/>
      <c r="C182" s="132"/>
      <c r="D182" s="112"/>
      <c r="E182" s="132"/>
      <c r="F182" s="132"/>
      <c r="G182" s="132"/>
      <c r="H182" s="132"/>
      <c r="I182" s="132"/>
      <c r="J182" s="112"/>
      <c r="K182" s="3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</row>
    <row r="183" spans="1:24">
      <c r="A183" s="1"/>
      <c r="B183" s="112"/>
      <c r="C183" s="132"/>
      <c r="D183" s="112"/>
      <c r="E183" s="132"/>
      <c r="F183" s="132"/>
      <c r="G183" s="132"/>
      <c r="H183" s="132"/>
      <c r="I183" s="132"/>
      <c r="J183" s="112"/>
      <c r="K183" s="3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</row>
    <row r="184" spans="1:24">
      <c r="A184" s="1"/>
      <c r="B184" s="112"/>
      <c r="C184" s="132"/>
      <c r="D184" s="112"/>
      <c r="E184" s="132"/>
      <c r="F184" s="132"/>
      <c r="G184" s="132"/>
      <c r="H184" s="132"/>
      <c r="I184" s="132"/>
      <c r="J184" s="112"/>
      <c r="K184" s="3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</row>
    <row r="185" spans="1:24">
      <c r="A185" s="1"/>
      <c r="B185" s="112"/>
      <c r="C185" s="132"/>
      <c r="D185" s="112"/>
      <c r="E185" s="132"/>
      <c r="F185" s="132"/>
      <c r="G185" s="132"/>
      <c r="H185" s="132"/>
      <c r="I185" s="132"/>
      <c r="J185" s="112"/>
      <c r="K185" s="3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</row>
    <row r="186" spans="1:24">
      <c r="A186" s="1"/>
      <c r="B186" s="112"/>
      <c r="C186" s="132"/>
      <c r="D186" s="112"/>
      <c r="E186" s="132"/>
      <c r="F186" s="132"/>
      <c r="G186" s="132"/>
      <c r="H186" s="132"/>
      <c r="I186" s="132"/>
      <c r="J186" s="112"/>
      <c r="K186" s="3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</row>
    <row r="187" spans="1:24">
      <c r="A187" s="1"/>
      <c r="B187" s="112"/>
      <c r="C187" s="132"/>
      <c r="D187" s="112"/>
      <c r="E187" s="132"/>
      <c r="F187" s="132"/>
      <c r="G187" s="132"/>
      <c r="H187" s="132"/>
      <c r="I187" s="132"/>
      <c r="J187" s="112"/>
      <c r="K187" s="3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</row>
    <row r="188" spans="1:24">
      <c r="A188" s="1"/>
      <c r="B188" s="112"/>
      <c r="C188" s="132"/>
      <c r="D188" s="112"/>
      <c r="E188" s="132"/>
      <c r="F188" s="132"/>
      <c r="G188" s="132"/>
      <c r="H188" s="132"/>
      <c r="I188" s="132"/>
      <c r="J188" s="112"/>
      <c r="K188" s="3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</row>
    <row r="189" spans="1:24">
      <c r="A189" s="1"/>
      <c r="B189" s="112"/>
      <c r="C189" s="132"/>
      <c r="D189" s="112"/>
      <c r="E189" s="132"/>
      <c r="F189" s="132"/>
      <c r="G189" s="132"/>
      <c r="H189" s="132"/>
      <c r="I189" s="132"/>
      <c r="J189" s="112"/>
      <c r="K189" s="3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</row>
    <row r="190" spans="1:24">
      <c r="A190" s="1"/>
      <c r="B190" s="112"/>
      <c r="C190" s="132"/>
      <c r="D190" s="112"/>
      <c r="E190" s="132"/>
      <c r="F190" s="132"/>
      <c r="G190" s="132"/>
      <c r="H190" s="132"/>
      <c r="I190" s="132"/>
      <c r="J190" s="112"/>
      <c r="K190" s="3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</row>
    <row r="191" spans="1:24">
      <c r="A191" s="1"/>
      <c r="B191" s="112"/>
      <c r="C191" s="132"/>
      <c r="D191" s="112"/>
      <c r="E191" s="132"/>
      <c r="F191" s="132"/>
      <c r="G191" s="132"/>
      <c r="H191" s="132"/>
      <c r="I191" s="132"/>
      <c r="J191" s="112"/>
      <c r="K191" s="3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</row>
    <row r="192" spans="1:24">
      <c r="A192" s="1"/>
      <c r="B192" s="112"/>
      <c r="C192" s="132"/>
      <c r="D192" s="112"/>
      <c r="E192" s="132"/>
      <c r="F192" s="132"/>
      <c r="G192" s="132"/>
      <c r="H192" s="132"/>
      <c r="I192" s="132"/>
      <c r="J192" s="112"/>
      <c r="K192" s="3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</row>
    <row r="193" spans="1:24">
      <c r="A193" s="1"/>
      <c r="B193" s="112"/>
      <c r="C193" s="132"/>
      <c r="D193" s="112"/>
      <c r="E193" s="132"/>
      <c r="F193" s="132"/>
      <c r="G193" s="132"/>
      <c r="H193" s="132"/>
      <c r="I193" s="132"/>
      <c r="J193" s="112"/>
      <c r="K193" s="3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</row>
    <row r="194" spans="1:24">
      <c r="A194" s="1"/>
      <c r="B194" s="112"/>
      <c r="C194" s="132"/>
      <c r="D194" s="112"/>
      <c r="E194" s="132"/>
      <c r="F194" s="132"/>
      <c r="G194" s="132"/>
      <c r="H194" s="132"/>
      <c r="I194" s="132"/>
      <c r="J194" s="112"/>
      <c r="K194" s="3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</row>
    <row r="195" spans="1:24">
      <c r="A195" s="1"/>
      <c r="B195" s="112"/>
      <c r="C195" s="132"/>
      <c r="D195" s="112"/>
      <c r="E195" s="132"/>
      <c r="F195" s="132"/>
      <c r="G195" s="132"/>
      <c r="H195" s="132"/>
      <c r="I195" s="132"/>
      <c r="J195" s="112"/>
      <c r="K195" s="3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</row>
    <row r="196" spans="1:24">
      <c r="A196" s="1"/>
      <c r="B196" s="112"/>
      <c r="C196" s="132"/>
      <c r="D196" s="112"/>
      <c r="E196" s="132"/>
      <c r="F196" s="132"/>
      <c r="G196" s="132"/>
      <c r="H196" s="132"/>
      <c r="I196" s="132"/>
      <c r="J196" s="112"/>
      <c r="K196" s="3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</row>
    <row r="197" spans="1:24">
      <c r="A197" s="1"/>
      <c r="B197" s="112"/>
      <c r="C197" s="132"/>
      <c r="D197" s="112"/>
      <c r="E197" s="132"/>
      <c r="F197" s="132"/>
      <c r="G197" s="132"/>
      <c r="H197" s="132"/>
      <c r="I197" s="132"/>
      <c r="J197" s="112"/>
      <c r="K197" s="3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</row>
    <row r="198" spans="1:24">
      <c r="A198" s="1"/>
      <c r="B198" s="112"/>
      <c r="C198" s="132"/>
      <c r="D198" s="112"/>
      <c r="E198" s="132"/>
      <c r="F198" s="132"/>
      <c r="G198" s="132"/>
      <c r="H198" s="132"/>
      <c r="I198" s="132"/>
      <c r="J198" s="112"/>
      <c r="K198" s="3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</row>
    <row r="199" spans="1:24">
      <c r="A199" s="1"/>
      <c r="B199" s="112"/>
      <c r="C199" s="132"/>
      <c r="D199" s="112"/>
      <c r="E199" s="132"/>
      <c r="F199" s="132"/>
      <c r="G199" s="132"/>
      <c r="H199" s="132"/>
      <c r="I199" s="132"/>
      <c r="J199" s="112"/>
      <c r="K199" s="3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</row>
    <row r="200" spans="1:24">
      <c r="A200" s="1"/>
      <c r="B200" s="112"/>
      <c r="C200" s="132"/>
      <c r="D200" s="112"/>
      <c r="E200" s="132"/>
      <c r="F200" s="132"/>
      <c r="G200" s="132"/>
      <c r="H200" s="132"/>
      <c r="I200" s="132"/>
      <c r="J200" s="112"/>
      <c r="K200" s="3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</row>
    <row r="201" spans="1:24">
      <c r="A201" s="1"/>
      <c r="B201" s="112"/>
      <c r="C201" s="132"/>
      <c r="D201" s="112"/>
      <c r="E201" s="132"/>
      <c r="F201" s="132"/>
      <c r="G201" s="132"/>
      <c r="H201" s="132"/>
      <c r="I201" s="132"/>
      <c r="J201" s="112"/>
      <c r="K201" s="3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</row>
    <row r="202" spans="1:24">
      <c r="A202" s="1"/>
      <c r="B202" s="112"/>
      <c r="C202" s="132"/>
      <c r="D202" s="112"/>
      <c r="E202" s="132"/>
      <c r="F202" s="132"/>
      <c r="G202" s="132"/>
      <c r="H202" s="132"/>
      <c r="I202" s="132"/>
      <c r="J202" s="112"/>
      <c r="K202" s="3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</row>
    <row r="203" spans="1:24">
      <c r="A203" s="1"/>
      <c r="B203" s="112"/>
      <c r="C203" s="132"/>
      <c r="D203" s="112"/>
      <c r="E203" s="132"/>
      <c r="F203" s="132"/>
      <c r="G203" s="132"/>
      <c r="H203" s="132"/>
      <c r="I203" s="132"/>
      <c r="J203" s="112"/>
      <c r="K203" s="3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</row>
    <row r="204" spans="1:24">
      <c r="A204" s="1"/>
      <c r="B204" s="112"/>
      <c r="C204" s="132"/>
      <c r="D204" s="112"/>
      <c r="E204" s="132"/>
      <c r="F204" s="132"/>
      <c r="G204" s="132"/>
      <c r="H204" s="132"/>
      <c r="I204" s="132"/>
      <c r="J204" s="112"/>
      <c r="K204" s="3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</row>
    <row r="205" spans="1:24">
      <c r="A205" s="1"/>
      <c r="B205" s="112"/>
      <c r="C205" s="132"/>
      <c r="D205" s="112"/>
      <c r="E205" s="132"/>
      <c r="F205" s="132"/>
      <c r="G205" s="132"/>
      <c r="H205" s="132"/>
      <c r="I205" s="132"/>
      <c r="J205" s="112"/>
      <c r="K205" s="3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</row>
    <row r="206" spans="1:24">
      <c r="A206" s="1"/>
      <c r="B206" s="112"/>
      <c r="C206" s="132"/>
      <c r="D206" s="112"/>
      <c r="E206" s="132"/>
      <c r="F206" s="132"/>
      <c r="G206" s="132"/>
      <c r="H206" s="132"/>
      <c r="I206" s="132"/>
      <c r="J206" s="112"/>
      <c r="K206" s="3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</row>
    <row r="207" spans="1:24">
      <c r="A207" s="1"/>
      <c r="B207" s="112"/>
      <c r="C207" s="132"/>
      <c r="D207" s="112"/>
      <c r="E207" s="132"/>
      <c r="F207" s="132"/>
      <c r="G207" s="132"/>
      <c r="H207" s="132"/>
      <c r="I207" s="132"/>
      <c r="J207" s="112"/>
      <c r="K207" s="3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</row>
    <row r="208" spans="1:24">
      <c r="A208" s="1"/>
      <c r="B208" s="112"/>
      <c r="C208" s="132"/>
      <c r="D208" s="112"/>
      <c r="E208" s="132"/>
      <c r="F208" s="132"/>
      <c r="G208" s="132"/>
      <c r="H208" s="132"/>
      <c r="I208" s="132"/>
      <c r="J208" s="112"/>
      <c r="K208" s="3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</row>
    <row r="209" spans="1:24">
      <c r="A209" s="1"/>
      <c r="B209" s="112"/>
      <c r="C209" s="132"/>
      <c r="D209" s="112"/>
      <c r="E209" s="132"/>
      <c r="F209" s="132"/>
      <c r="G209" s="132"/>
      <c r="H209" s="132"/>
      <c r="I209" s="132"/>
      <c r="J209" s="112"/>
      <c r="K209" s="3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</row>
    <row r="210" spans="1:24">
      <c r="A210" s="1"/>
      <c r="B210" s="112"/>
      <c r="C210" s="132"/>
      <c r="D210" s="112"/>
      <c r="E210" s="132"/>
      <c r="F210" s="132"/>
      <c r="G210" s="132"/>
      <c r="H210" s="132"/>
      <c r="I210" s="132"/>
      <c r="J210" s="112"/>
      <c r="K210" s="3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</row>
    <row r="211" spans="1:24">
      <c r="A211" s="1"/>
      <c r="B211" s="112"/>
      <c r="C211" s="132"/>
      <c r="D211" s="112"/>
      <c r="E211" s="132"/>
      <c r="F211" s="132"/>
      <c r="G211" s="132"/>
      <c r="H211" s="132"/>
      <c r="I211" s="132"/>
      <c r="J211" s="112"/>
      <c r="K211" s="3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</row>
    <row r="212" spans="1:24">
      <c r="A212" s="1"/>
      <c r="B212" s="112"/>
      <c r="C212" s="132"/>
      <c r="D212" s="112"/>
      <c r="E212" s="132"/>
      <c r="F212" s="132"/>
      <c r="G212" s="132"/>
      <c r="H212" s="132"/>
      <c r="I212" s="132"/>
      <c r="J212" s="112"/>
      <c r="K212" s="3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</row>
    <row r="213" spans="1:24">
      <c r="A213" s="1"/>
      <c r="B213" s="112"/>
      <c r="C213" s="132"/>
      <c r="D213" s="112"/>
      <c r="E213" s="132"/>
      <c r="F213" s="132"/>
      <c r="G213" s="132"/>
      <c r="H213" s="132"/>
      <c r="I213" s="132"/>
      <c r="J213" s="112"/>
      <c r="K213" s="3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</row>
    <row r="214" spans="1:24">
      <c r="A214" s="1"/>
      <c r="B214" s="112"/>
      <c r="C214" s="132"/>
      <c r="D214" s="112"/>
      <c r="E214" s="132"/>
      <c r="F214" s="132"/>
      <c r="G214" s="132"/>
      <c r="H214" s="132"/>
      <c r="I214" s="132"/>
      <c r="J214" s="112"/>
      <c r="K214" s="3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</row>
    <row r="215" spans="1:24">
      <c r="A215" s="1"/>
      <c r="B215" s="112"/>
      <c r="C215" s="132"/>
      <c r="D215" s="112"/>
      <c r="E215" s="132"/>
      <c r="F215" s="132"/>
      <c r="G215" s="132"/>
      <c r="H215" s="132"/>
      <c r="I215" s="132"/>
      <c r="J215" s="112"/>
      <c r="K215" s="3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</row>
    <row r="216" spans="1:24">
      <c r="A216" s="1"/>
      <c r="B216" s="112"/>
      <c r="C216" s="132"/>
      <c r="D216" s="112"/>
      <c r="E216" s="132"/>
      <c r="F216" s="132"/>
      <c r="G216" s="132"/>
      <c r="H216" s="132"/>
      <c r="I216" s="132"/>
      <c r="J216" s="112"/>
      <c r="K216" s="3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</row>
    <row r="217" spans="1:24">
      <c r="A217" s="1"/>
      <c r="B217" s="112"/>
      <c r="C217" s="132"/>
      <c r="D217" s="112"/>
      <c r="E217" s="132"/>
      <c r="F217" s="132"/>
      <c r="G217" s="132"/>
      <c r="H217" s="132"/>
      <c r="I217" s="132"/>
      <c r="J217" s="112"/>
      <c r="K217" s="3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</row>
    <row r="218" spans="1:24">
      <c r="A218" s="1"/>
      <c r="B218" s="112"/>
      <c r="C218" s="132"/>
      <c r="D218" s="112"/>
      <c r="E218" s="132"/>
      <c r="F218" s="132"/>
      <c r="G218" s="132"/>
      <c r="H218" s="132"/>
      <c r="I218" s="132"/>
      <c r="J218" s="112"/>
      <c r="K218" s="3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</row>
    <row r="219" spans="1:24">
      <c r="A219" s="1"/>
      <c r="B219" s="112"/>
      <c r="C219" s="132"/>
      <c r="D219" s="112"/>
      <c r="E219" s="132"/>
      <c r="F219" s="132"/>
      <c r="G219" s="132"/>
      <c r="H219" s="132"/>
      <c r="I219" s="132"/>
      <c r="J219" s="112"/>
      <c r="K219" s="3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</row>
    <row r="220" spans="1:24">
      <c r="A220" s="1"/>
      <c r="B220" s="112"/>
      <c r="C220" s="132"/>
      <c r="D220" s="112"/>
      <c r="E220" s="132"/>
      <c r="F220" s="132"/>
      <c r="G220" s="132"/>
      <c r="H220" s="132"/>
      <c r="I220" s="132"/>
      <c r="J220" s="112"/>
      <c r="K220" s="3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</row>
    <row r="221" spans="1:24">
      <c r="A221" s="1"/>
      <c r="B221" s="112"/>
      <c r="C221" s="132"/>
      <c r="D221" s="112"/>
      <c r="E221" s="132"/>
      <c r="F221" s="132"/>
      <c r="G221" s="132"/>
      <c r="H221" s="132"/>
      <c r="I221" s="132"/>
      <c r="J221" s="112"/>
      <c r="K221" s="3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</row>
    <row r="222" spans="1:24">
      <c r="A222" s="1"/>
      <c r="B222" s="112"/>
      <c r="C222" s="132"/>
      <c r="D222" s="112"/>
      <c r="E222" s="132"/>
      <c r="F222" s="132"/>
      <c r="G222" s="132"/>
      <c r="H222" s="132"/>
      <c r="I222" s="132"/>
      <c r="J222" s="112"/>
      <c r="K222" s="3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</row>
    <row r="223" spans="1:24">
      <c r="A223" s="1"/>
      <c r="B223" s="112"/>
      <c r="C223" s="132"/>
      <c r="D223" s="112"/>
      <c r="E223" s="132"/>
      <c r="F223" s="132"/>
      <c r="G223" s="132"/>
      <c r="H223" s="132"/>
      <c r="I223" s="132"/>
      <c r="J223" s="112"/>
      <c r="K223" s="3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</row>
    <row r="224" spans="1:24">
      <c r="A224" s="1"/>
      <c r="B224" s="112"/>
      <c r="C224" s="132"/>
      <c r="D224" s="112"/>
      <c r="E224" s="132"/>
      <c r="F224" s="132"/>
      <c r="G224" s="132"/>
      <c r="H224" s="132"/>
      <c r="I224" s="132"/>
      <c r="J224" s="112"/>
      <c r="K224" s="3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</row>
    <row r="225" spans="1:24">
      <c r="A225" s="1"/>
      <c r="B225" s="112"/>
      <c r="C225" s="132"/>
      <c r="D225" s="112"/>
      <c r="E225" s="132"/>
      <c r="F225" s="132"/>
      <c r="G225" s="132"/>
      <c r="H225" s="132"/>
      <c r="I225" s="132"/>
      <c r="J225" s="112"/>
      <c r="K225" s="3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</row>
    <row r="226" spans="1:24">
      <c r="A226" s="1"/>
      <c r="B226" s="112"/>
      <c r="C226" s="132"/>
      <c r="D226" s="112"/>
      <c r="E226" s="132"/>
      <c r="F226" s="132"/>
      <c r="G226" s="132"/>
      <c r="H226" s="132"/>
      <c r="I226" s="132"/>
      <c r="J226" s="112"/>
      <c r="K226" s="3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</row>
    <row r="227" spans="1:24">
      <c r="A227" s="1"/>
      <c r="B227" s="112"/>
      <c r="C227" s="132"/>
      <c r="D227" s="112"/>
      <c r="E227" s="132"/>
      <c r="F227" s="132"/>
      <c r="G227" s="132"/>
      <c r="H227" s="132"/>
      <c r="I227" s="132"/>
      <c r="J227" s="112"/>
      <c r="K227" s="3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</row>
    <row r="228" spans="1:24">
      <c r="A228" s="1"/>
      <c r="B228" s="112"/>
      <c r="C228" s="132"/>
      <c r="D228" s="112"/>
      <c r="E228" s="132"/>
      <c r="F228" s="132"/>
      <c r="G228" s="132"/>
      <c r="H228" s="132"/>
      <c r="I228" s="132"/>
      <c r="J228" s="112"/>
      <c r="K228" s="3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</row>
    <row r="229" spans="1:24">
      <c r="A229" s="1"/>
      <c r="B229" s="112"/>
      <c r="C229" s="132"/>
      <c r="D229" s="112"/>
      <c r="E229" s="132"/>
      <c r="F229" s="132"/>
      <c r="G229" s="132"/>
      <c r="H229" s="132"/>
      <c r="I229" s="132"/>
      <c r="J229" s="112"/>
      <c r="K229" s="3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</row>
    <row r="230" spans="1:24">
      <c r="A230" s="1"/>
      <c r="B230" s="112"/>
      <c r="C230" s="132"/>
      <c r="D230" s="112"/>
      <c r="E230" s="132"/>
      <c r="F230" s="132"/>
      <c r="G230" s="132"/>
      <c r="H230" s="132"/>
      <c r="I230" s="132"/>
      <c r="J230" s="112"/>
      <c r="K230" s="3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</row>
    <row r="231" spans="1:24">
      <c r="A231" s="1"/>
      <c r="B231" s="112"/>
      <c r="C231" s="132"/>
      <c r="D231" s="112"/>
      <c r="E231" s="132"/>
      <c r="F231" s="132"/>
      <c r="G231" s="132"/>
      <c r="H231" s="132"/>
      <c r="I231" s="132"/>
      <c r="J231" s="112"/>
      <c r="K231" s="3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</row>
    <row r="232" spans="1:24">
      <c r="A232" s="1"/>
      <c r="B232" s="112"/>
      <c r="C232" s="132"/>
      <c r="D232" s="112"/>
      <c r="E232" s="132"/>
      <c r="F232" s="132"/>
      <c r="G232" s="132"/>
      <c r="H232" s="132"/>
      <c r="I232" s="132"/>
      <c r="J232" s="112"/>
      <c r="K232" s="3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</row>
    <row r="233" spans="1:24">
      <c r="A233" s="1"/>
      <c r="B233" s="112"/>
      <c r="C233" s="132"/>
      <c r="D233" s="112"/>
      <c r="E233" s="132"/>
      <c r="F233" s="132"/>
      <c r="G233" s="132"/>
      <c r="H233" s="132"/>
      <c r="I233" s="132"/>
      <c r="J233" s="112"/>
      <c r="K233" s="3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</row>
    <row r="234" spans="1:24">
      <c r="A234" s="1"/>
      <c r="B234" s="112"/>
      <c r="C234" s="132"/>
      <c r="D234" s="112"/>
      <c r="E234" s="132"/>
      <c r="F234" s="132"/>
      <c r="G234" s="132"/>
      <c r="H234" s="132"/>
      <c r="I234" s="132"/>
      <c r="J234" s="112"/>
      <c r="K234" s="3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</row>
    <row r="235" spans="1:24">
      <c r="A235" s="1"/>
      <c r="B235" s="112"/>
      <c r="C235" s="132"/>
      <c r="D235" s="112"/>
      <c r="E235" s="132"/>
      <c r="F235" s="132"/>
      <c r="G235" s="132"/>
      <c r="H235" s="132"/>
      <c r="I235" s="132"/>
      <c r="J235" s="112"/>
      <c r="K235" s="3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</row>
    <row r="236" spans="1:24">
      <c r="A236" s="1"/>
      <c r="B236" s="112"/>
      <c r="C236" s="132"/>
      <c r="D236" s="112"/>
      <c r="E236" s="132"/>
      <c r="F236" s="132"/>
      <c r="G236" s="132"/>
      <c r="H236" s="132"/>
      <c r="I236" s="132"/>
      <c r="J236" s="112"/>
      <c r="K236" s="3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</row>
    <row r="237" spans="1:24">
      <c r="A237" s="1"/>
      <c r="B237" s="112"/>
      <c r="C237" s="132"/>
      <c r="D237" s="112"/>
      <c r="E237" s="132"/>
      <c r="F237" s="132"/>
      <c r="G237" s="132"/>
      <c r="H237" s="132"/>
      <c r="I237" s="132"/>
      <c r="J237" s="112"/>
      <c r="K237" s="3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</row>
    <row r="238" spans="1:24">
      <c r="A238" s="1"/>
      <c r="B238" s="112"/>
      <c r="C238" s="132"/>
      <c r="D238" s="112"/>
      <c r="E238" s="132"/>
      <c r="F238" s="132"/>
      <c r="G238" s="132"/>
      <c r="H238" s="132"/>
      <c r="I238" s="132"/>
      <c r="J238" s="112"/>
      <c r="K238" s="3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</row>
    <row r="239" spans="1:24">
      <c r="A239" s="1"/>
      <c r="B239" s="112"/>
      <c r="C239" s="132"/>
      <c r="D239" s="112"/>
      <c r="E239" s="132"/>
      <c r="F239" s="132"/>
      <c r="G239" s="132"/>
      <c r="H239" s="132"/>
      <c r="I239" s="132"/>
      <c r="J239" s="112"/>
      <c r="K239" s="3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</row>
    <row r="240" spans="1:24">
      <c r="A240" s="1"/>
      <c r="B240" s="112"/>
      <c r="C240" s="132"/>
      <c r="D240" s="112"/>
      <c r="E240" s="132"/>
      <c r="F240" s="132"/>
      <c r="G240" s="132"/>
      <c r="H240" s="132"/>
      <c r="I240" s="132"/>
      <c r="J240" s="112"/>
      <c r="K240" s="3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</row>
    <row r="241" spans="1:24">
      <c r="A241" s="1"/>
      <c r="B241" s="112"/>
      <c r="C241" s="132"/>
      <c r="D241" s="112"/>
      <c r="E241" s="132"/>
      <c r="F241" s="132"/>
      <c r="G241" s="132"/>
      <c r="H241" s="132"/>
      <c r="I241" s="132"/>
      <c r="J241" s="112"/>
      <c r="K241" s="3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</row>
    <row r="242" spans="1:24">
      <c r="A242" s="1"/>
      <c r="B242" s="112"/>
      <c r="C242" s="132"/>
      <c r="D242" s="112"/>
      <c r="E242" s="132"/>
      <c r="F242" s="132"/>
      <c r="G242" s="132"/>
      <c r="H242" s="132"/>
      <c r="I242" s="132"/>
      <c r="J242" s="112"/>
      <c r="K242" s="3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</row>
    <row r="243" spans="1:24">
      <c r="A243" s="1"/>
      <c r="B243" s="112"/>
      <c r="C243" s="132"/>
      <c r="D243" s="112"/>
      <c r="E243" s="132"/>
      <c r="F243" s="132"/>
      <c r="G243" s="132"/>
      <c r="H243" s="132"/>
      <c r="I243" s="132"/>
      <c r="J243" s="112"/>
      <c r="K243" s="3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</row>
    <row r="244" spans="1:24">
      <c r="A244" s="1"/>
      <c r="B244" s="112"/>
      <c r="C244" s="132"/>
      <c r="D244" s="112"/>
      <c r="E244" s="132"/>
      <c r="F244" s="132"/>
      <c r="G244" s="132"/>
      <c r="H244" s="132"/>
      <c r="I244" s="132"/>
      <c r="J244" s="112"/>
      <c r="K244" s="3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</row>
    <row r="245" spans="1:24">
      <c r="A245" s="1"/>
      <c r="B245" s="112"/>
      <c r="C245" s="132"/>
      <c r="D245" s="112"/>
      <c r="E245" s="132"/>
      <c r="F245" s="132"/>
      <c r="G245" s="132"/>
      <c r="H245" s="132"/>
      <c r="I245" s="132"/>
      <c r="J245" s="112"/>
      <c r="K245" s="3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</row>
    <row r="246" spans="1:24">
      <c r="A246" s="1"/>
      <c r="B246" s="112"/>
      <c r="C246" s="132"/>
      <c r="D246" s="112"/>
      <c r="E246" s="132"/>
      <c r="F246" s="132"/>
      <c r="G246" s="132"/>
      <c r="H246" s="132"/>
      <c r="I246" s="132"/>
      <c r="J246" s="112"/>
      <c r="K246" s="3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</row>
    <row r="247" spans="1:24">
      <c r="A247" s="1"/>
      <c r="B247" s="112"/>
      <c r="C247" s="132"/>
      <c r="D247" s="112"/>
      <c r="E247" s="132"/>
      <c r="F247" s="132"/>
      <c r="G247" s="132"/>
      <c r="H247" s="132"/>
      <c r="I247" s="132"/>
      <c r="J247" s="112"/>
      <c r="K247" s="3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</row>
    <row r="248" spans="1:24">
      <c r="A248" s="1"/>
      <c r="B248" s="112"/>
      <c r="C248" s="132"/>
      <c r="D248" s="112"/>
      <c r="E248" s="132"/>
      <c r="F248" s="132"/>
      <c r="G248" s="132"/>
      <c r="H248" s="132"/>
      <c r="I248" s="132"/>
      <c r="J248" s="112"/>
      <c r="K248" s="3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</row>
    <row r="249" spans="1:24">
      <c r="A249" s="1"/>
      <c r="B249" s="112"/>
      <c r="C249" s="132"/>
      <c r="D249" s="112"/>
      <c r="E249" s="132"/>
      <c r="F249" s="132"/>
      <c r="G249" s="132"/>
      <c r="H249" s="132"/>
      <c r="I249" s="132"/>
      <c r="J249" s="112"/>
      <c r="K249" s="3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</row>
    <row r="250" spans="1:24">
      <c r="A250" s="1"/>
      <c r="B250" s="112"/>
      <c r="C250" s="132"/>
      <c r="D250" s="112"/>
      <c r="E250" s="132"/>
      <c r="F250" s="132"/>
      <c r="G250" s="132"/>
      <c r="H250" s="132"/>
      <c r="I250" s="132"/>
      <c r="J250" s="112"/>
      <c r="K250" s="3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</row>
    <row r="251" spans="1:24">
      <c r="A251" s="1"/>
      <c r="B251" s="112"/>
      <c r="C251" s="132"/>
      <c r="D251" s="112"/>
      <c r="E251" s="132"/>
      <c r="F251" s="132"/>
      <c r="G251" s="132"/>
      <c r="H251" s="132"/>
      <c r="I251" s="132"/>
      <c r="J251" s="112"/>
      <c r="K251" s="3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</row>
    <row r="252" spans="1:24">
      <c r="A252" s="1"/>
      <c r="B252" s="112"/>
      <c r="C252" s="132"/>
      <c r="D252" s="112"/>
      <c r="E252" s="132"/>
      <c r="F252" s="132"/>
      <c r="G252" s="132"/>
      <c r="H252" s="132"/>
      <c r="I252" s="132"/>
      <c r="J252" s="112"/>
      <c r="K252" s="3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</row>
    <row r="253" spans="1:24">
      <c r="A253" s="1"/>
      <c r="B253" s="112"/>
      <c r="C253" s="132"/>
      <c r="D253" s="112"/>
      <c r="E253" s="132"/>
      <c r="F253" s="132"/>
      <c r="G253" s="132"/>
      <c r="H253" s="132"/>
      <c r="I253" s="132"/>
      <c r="J253" s="112"/>
      <c r="K253" s="3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</row>
    <row r="254" spans="1:24">
      <c r="A254" s="1"/>
      <c r="B254" s="112"/>
      <c r="C254" s="132"/>
      <c r="D254" s="112"/>
      <c r="E254" s="132"/>
      <c r="F254" s="132"/>
      <c r="G254" s="132"/>
      <c r="H254" s="132"/>
      <c r="I254" s="132"/>
      <c r="J254" s="112"/>
      <c r="K254" s="3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</row>
    <row r="255" spans="1:24">
      <c r="A255" s="1"/>
      <c r="B255" s="112"/>
      <c r="C255" s="132"/>
      <c r="D255" s="112"/>
      <c r="E255" s="132"/>
      <c r="F255" s="132"/>
      <c r="G255" s="132"/>
      <c r="H255" s="132"/>
      <c r="I255" s="132"/>
      <c r="J255" s="112"/>
      <c r="K255" s="3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</row>
    <row r="256" spans="1:24">
      <c r="A256" s="1"/>
      <c r="B256" s="112"/>
      <c r="C256" s="132"/>
      <c r="D256" s="112"/>
      <c r="E256" s="132"/>
      <c r="F256" s="132"/>
      <c r="G256" s="132"/>
      <c r="H256" s="132"/>
      <c r="I256" s="132"/>
      <c r="J256" s="112"/>
      <c r="K256" s="3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</row>
    <row r="257" spans="1:24">
      <c r="A257" s="1"/>
      <c r="B257" s="112"/>
      <c r="C257" s="132"/>
      <c r="D257" s="112"/>
      <c r="E257" s="132"/>
      <c r="F257" s="132"/>
      <c r="G257" s="132"/>
      <c r="H257" s="132"/>
      <c r="I257" s="132"/>
      <c r="J257" s="112"/>
      <c r="K257" s="3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</row>
    <row r="258" spans="1:24">
      <c r="A258" s="1"/>
      <c r="B258" s="112"/>
      <c r="C258" s="132"/>
      <c r="D258" s="112"/>
      <c r="E258" s="132"/>
      <c r="F258" s="132"/>
      <c r="G258" s="132"/>
      <c r="H258" s="132"/>
      <c r="I258" s="132"/>
      <c r="J258" s="112"/>
      <c r="K258" s="3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</row>
    <row r="259" spans="1:24">
      <c r="A259" s="1"/>
      <c r="B259" s="112"/>
      <c r="C259" s="132"/>
      <c r="D259" s="112"/>
      <c r="E259" s="132"/>
      <c r="F259" s="132"/>
      <c r="G259" s="132"/>
      <c r="H259" s="132"/>
      <c r="I259" s="132"/>
      <c r="J259" s="112"/>
      <c r="K259" s="3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</row>
    <row r="260" spans="1:24">
      <c r="A260" s="1"/>
      <c r="B260" s="112"/>
      <c r="C260" s="132"/>
      <c r="D260" s="112"/>
      <c r="E260" s="132"/>
      <c r="F260" s="132"/>
      <c r="G260" s="132"/>
      <c r="H260" s="132"/>
      <c r="I260" s="132"/>
      <c r="J260" s="112"/>
      <c r="K260" s="3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</row>
    <row r="261" spans="1:24">
      <c r="A261" s="1"/>
      <c r="B261" s="112"/>
      <c r="C261" s="132"/>
      <c r="D261" s="112"/>
      <c r="E261" s="132"/>
      <c r="F261" s="132"/>
      <c r="G261" s="132"/>
      <c r="H261" s="132"/>
      <c r="I261" s="132"/>
      <c r="J261" s="112"/>
      <c r="K261" s="3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</row>
    <row r="262" spans="1:24">
      <c r="A262" s="1"/>
      <c r="B262" s="112"/>
      <c r="C262" s="132"/>
      <c r="D262" s="112"/>
      <c r="E262" s="132"/>
      <c r="F262" s="132"/>
      <c r="G262" s="132"/>
      <c r="H262" s="132"/>
      <c r="I262" s="132"/>
      <c r="J262" s="112"/>
      <c r="K262" s="3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</row>
    <row r="263" spans="1:24">
      <c r="A263" s="1"/>
      <c r="B263" s="112"/>
      <c r="C263" s="132"/>
      <c r="D263" s="112"/>
      <c r="E263" s="132"/>
      <c r="F263" s="132"/>
      <c r="G263" s="132"/>
      <c r="H263" s="132"/>
      <c r="I263" s="132"/>
      <c r="J263" s="112"/>
      <c r="K263" s="3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</row>
    <row r="264" spans="1:24">
      <c r="A264" s="1"/>
      <c r="B264" s="112"/>
      <c r="C264" s="132"/>
      <c r="D264" s="112"/>
      <c r="E264" s="132"/>
      <c r="F264" s="132"/>
      <c r="G264" s="132"/>
      <c r="H264" s="132"/>
      <c r="I264" s="132"/>
      <c r="J264" s="112"/>
      <c r="K264" s="3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</row>
    <row r="265" spans="1:24">
      <c r="A265" s="1"/>
      <c r="B265" s="112"/>
      <c r="C265" s="132"/>
      <c r="D265" s="112"/>
      <c r="E265" s="132"/>
      <c r="F265" s="132"/>
      <c r="G265" s="132"/>
      <c r="H265" s="132"/>
      <c r="I265" s="132"/>
      <c r="J265" s="112"/>
      <c r="K265" s="3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</row>
    <row r="266" spans="1:24">
      <c r="A266" s="1"/>
      <c r="B266" s="112"/>
      <c r="C266" s="132"/>
      <c r="D266" s="112"/>
      <c r="E266" s="132"/>
      <c r="F266" s="132"/>
      <c r="G266" s="132"/>
      <c r="H266" s="132"/>
      <c r="I266" s="132"/>
      <c r="J266" s="112"/>
      <c r="K266" s="3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</row>
    <row r="267" spans="1:24">
      <c r="A267" s="1"/>
      <c r="B267" s="112"/>
      <c r="C267" s="132"/>
      <c r="D267" s="112"/>
      <c r="E267" s="132"/>
      <c r="F267" s="132"/>
      <c r="G267" s="132"/>
      <c r="H267" s="132"/>
      <c r="I267" s="132"/>
      <c r="J267" s="112"/>
      <c r="K267" s="3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</row>
    <row r="268" spans="1:24">
      <c r="A268" s="1"/>
      <c r="B268" s="112"/>
      <c r="C268" s="132"/>
      <c r="D268" s="112"/>
      <c r="E268" s="132"/>
      <c r="F268" s="132"/>
      <c r="G268" s="132"/>
      <c r="H268" s="132"/>
      <c r="I268" s="132"/>
      <c r="J268" s="112"/>
      <c r="K268" s="3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</row>
    <row r="269" spans="1:24">
      <c r="A269" s="1"/>
      <c r="B269" s="112"/>
      <c r="C269" s="132"/>
      <c r="D269" s="112"/>
      <c r="E269" s="132"/>
      <c r="F269" s="132"/>
      <c r="G269" s="132"/>
      <c r="H269" s="132"/>
      <c r="I269" s="132"/>
      <c r="J269" s="112"/>
      <c r="K269" s="3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</row>
    <row r="270" spans="1:24">
      <c r="A270" s="1"/>
      <c r="B270" s="112"/>
      <c r="C270" s="132"/>
      <c r="D270" s="112"/>
      <c r="E270" s="132"/>
      <c r="F270" s="132"/>
      <c r="G270" s="132"/>
      <c r="H270" s="132"/>
      <c r="I270" s="132"/>
      <c r="J270" s="112"/>
      <c r="K270" s="3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</row>
    <row r="271" spans="1:24">
      <c r="A271" s="1"/>
      <c r="B271" s="112"/>
      <c r="C271" s="132"/>
      <c r="D271" s="112"/>
      <c r="E271" s="132"/>
      <c r="F271" s="132"/>
      <c r="G271" s="132"/>
      <c r="H271" s="132"/>
      <c r="I271" s="132"/>
      <c r="J271" s="112"/>
      <c r="K271" s="3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</row>
    <row r="272" spans="1:24">
      <c r="A272" s="1"/>
      <c r="B272" s="112"/>
      <c r="C272" s="132"/>
      <c r="D272" s="112"/>
      <c r="E272" s="132"/>
      <c r="F272" s="132"/>
      <c r="G272" s="132"/>
      <c r="H272" s="132"/>
      <c r="I272" s="132"/>
      <c r="J272" s="112"/>
      <c r="K272" s="3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</row>
    <row r="273" spans="1:24">
      <c r="A273" s="1"/>
      <c r="B273" s="112"/>
      <c r="C273" s="132"/>
      <c r="D273" s="112"/>
      <c r="E273" s="132"/>
      <c r="F273" s="132"/>
      <c r="G273" s="132"/>
      <c r="H273" s="132"/>
      <c r="I273" s="132"/>
      <c r="J273" s="112"/>
      <c r="K273" s="3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</row>
    <row r="274" spans="1:24">
      <c r="A274" s="1"/>
      <c r="B274" s="112"/>
      <c r="C274" s="132"/>
      <c r="D274" s="112"/>
      <c r="E274" s="132"/>
      <c r="F274" s="132"/>
      <c r="G274" s="132"/>
      <c r="H274" s="132"/>
      <c r="I274" s="132"/>
      <c r="J274" s="112"/>
      <c r="K274" s="3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</row>
    <row r="275" spans="1:24">
      <c r="A275" s="1"/>
      <c r="B275" s="112"/>
      <c r="C275" s="132"/>
      <c r="D275" s="112"/>
      <c r="E275" s="132"/>
      <c r="F275" s="132"/>
      <c r="G275" s="132"/>
      <c r="H275" s="132"/>
      <c r="I275" s="132"/>
      <c r="J275" s="112"/>
      <c r="K275" s="3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</row>
  </sheetData>
  <mergeCells count="13">
    <mergeCell ref="A1:K1"/>
    <mergeCell ref="A38:F38"/>
    <mergeCell ref="K55:K63"/>
    <mergeCell ref="A2:K2"/>
    <mergeCell ref="A53:L53"/>
    <mergeCell ref="A33:C33"/>
    <mergeCell ref="D67:E67"/>
    <mergeCell ref="A64:C64"/>
    <mergeCell ref="A52:M52"/>
    <mergeCell ref="A37:F37"/>
    <mergeCell ref="K4:K33"/>
    <mergeCell ref="A49:C49"/>
    <mergeCell ref="G67:H67"/>
  </mergeCells>
  <phoneticPr fontId="49" type="noConversion"/>
  <pageMargins left="0.511811024" right="0.511811024" top="0.78740157499999996" bottom="0.78740157499999996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W999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C17" sqref="C17"/>
    </sheetView>
  </sheetViews>
  <sheetFormatPr defaultColWidth="14.42578125" defaultRowHeight="15" customHeight="1"/>
  <cols>
    <col min="1" max="1" width="5.85546875" style="133" customWidth="1"/>
    <col min="2" max="2" width="30" style="133" bestFit="1" customWidth="1"/>
    <col min="3" max="3" width="29.42578125" style="133" customWidth="1"/>
    <col min="4" max="4" width="8.28515625" style="133" bestFit="1" customWidth="1"/>
    <col min="5" max="5" width="14.42578125" style="133" bestFit="1" customWidth="1"/>
    <col min="6" max="6" width="14.28515625" style="133" bestFit="1" customWidth="1"/>
    <col min="7" max="7" width="11.5703125" style="133" bestFit="1" customWidth="1"/>
    <col min="8" max="10" width="13.28515625" style="133" bestFit="1" customWidth="1"/>
    <col min="11" max="16" width="10.7109375" style="133" bestFit="1" customWidth="1"/>
    <col min="17" max="17" width="14.28515625" style="133" customWidth="1"/>
    <col min="18" max="18" width="14.28515625" style="133" bestFit="1" customWidth="1"/>
    <col min="19" max="23" width="8.7109375" style="133" customWidth="1"/>
  </cols>
  <sheetData>
    <row r="1" spans="1:2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</row>
    <row r="2" spans="1:23" ht="24" customHeight="1">
      <c r="A2" s="285" t="s">
        <v>95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"/>
      <c r="T2" s="2"/>
      <c r="U2" s="2"/>
      <c r="V2" s="2"/>
      <c r="W2" s="2"/>
    </row>
    <row r="3" spans="1:23">
      <c r="A3" s="287" t="s">
        <v>96</v>
      </c>
      <c r="B3" s="287" t="s">
        <v>97</v>
      </c>
      <c r="C3" s="287" t="s">
        <v>98</v>
      </c>
      <c r="D3" s="287" t="s">
        <v>99</v>
      </c>
      <c r="E3" s="287" t="s">
        <v>100</v>
      </c>
      <c r="F3" s="287" t="s">
        <v>101</v>
      </c>
      <c r="G3" s="287" t="s">
        <v>102</v>
      </c>
      <c r="H3" s="11">
        <v>46174</v>
      </c>
      <c r="I3" s="11">
        <v>46204</v>
      </c>
      <c r="J3" s="11">
        <v>46235</v>
      </c>
      <c r="K3" s="12">
        <v>46266</v>
      </c>
      <c r="L3" s="12">
        <v>46296</v>
      </c>
      <c r="M3" s="356">
        <v>46327</v>
      </c>
      <c r="N3" s="361">
        <v>46357</v>
      </c>
      <c r="O3" s="361">
        <v>46388</v>
      </c>
      <c r="P3" s="361">
        <v>46419</v>
      </c>
      <c r="Q3" s="362" t="s">
        <v>103</v>
      </c>
      <c r="R3" s="362" t="s">
        <v>84</v>
      </c>
      <c r="S3" s="3"/>
      <c r="T3" s="3"/>
      <c r="U3" s="3"/>
      <c r="V3" s="3"/>
      <c r="W3" s="3"/>
    </row>
    <row r="4" spans="1:23">
      <c r="A4" s="288"/>
      <c r="B4" s="288"/>
      <c r="C4" s="288"/>
      <c r="D4" s="288"/>
      <c r="E4" s="288"/>
      <c r="F4" s="288"/>
      <c r="G4" s="288"/>
      <c r="H4" s="113" t="s">
        <v>104</v>
      </c>
      <c r="I4" s="113" t="s">
        <v>105</v>
      </c>
      <c r="J4" s="113" t="s">
        <v>106</v>
      </c>
      <c r="K4" s="113" t="s">
        <v>107</v>
      </c>
      <c r="L4" s="113" t="s">
        <v>108</v>
      </c>
      <c r="M4" s="357" t="s">
        <v>109</v>
      </c>
      <c r="N4" s="363" t="s">
        <v>110</v>
      </c>
      <c r="O4" s="363" t="s">
        <v>111</v>
      </c>
      <c r="P4" s="363" t="s">
        <v>112</v>
      </c>
      <c r="Q4" s="364"/>
      <c r="R4" s="364"/>
      <c r="S4" s="2"/>
      <c r="T4" s="2"/>
      <c r="U4" s="2"/>
      <c r="V4" s="2"/>
      <c r="W4" s="2"/>
    </row>
    <row r="5" spans="1:23">
      <c r="A5" s="132"/>
      <c r="B5" s="2"/>
      <c r="C5" s="132"/>
      <c r="D5" s="132"/>
      <c r="E5" s="132"/>
      <c r="F5" s="132"/>
      <c r="G5" s="132"/>
      <c r="H5" s="289" t="s">
        <v>113</v>
      </c>
      <c r="I5" s="255"/>
      <c r="J5" s="255"/>
      <c r="K5" s="255"/>
      <c r="L5" s="255"/>
      <c r="M5" s="255"/>
      <c r="N5" s="358"/>
      <c r="O5" s="359"/>
      <c r="P5" s="359"/>
      <c r="Q5" s="325"/>
      <c r="R5" s="360"/>
      <c r="S5" s="2"/>
      <c r="T5" s="2"/>
      <c r="U5" s="2"/>
      <c r="V5" s="2"/>
      <c r="W5" s="2"/>
    </row>
    <row r="6" spans="1:23" ht="15.75" customHeight="1">
      <c r="A6" s="286" t="s">
        <v>114</v>
      </c>
      <c r="B6" s="255"/>
      <c r="C6" s="255"/>
      <c r="D6" s="255"/>
      <c r="E6" s="255"/>
      <c r="F6" s="255"/>
      <c r="G6" s="255"/>
      <c r="H6" s="17"/>
      <c r="I6" s="18"/>
      <c r="J6" s="19"/>
      <c r="K6" s="20"/>
      <c r="L6" s="20"/>
      <c r="M6" s="20"/>
      <c r="N6" s="347"/>
      <c r="O6" s="348"/>
      <c r="P6" s="349"/>
      <c r="Q6" s="352"/>
      <c r="R6" s="353"/>
      <c r="S6" s="2"/>
      <c r="T6" s="2"/>
      <c r="U6" s="2"/>
      <c r="V6" s="2"/>
      <c r="W6" s="2"/>
    </row>
    <row r="7" spans="1:23">
      <c r="A7" s="29">
        <v>1</v>
      </c>
      <c r="B7" s="30" t="s">
        <v>115</v>
      </c>
      <c r="C7" s="31" t="s">
        <v>116</v>
      </c>
      <c r="D7" s="33">
        <v>9</v>
      </c>
      <c r="E7" s="226">
        <v>12000</v>
      </c>
      <c r="F7" s="227">
        <f t="shared" ref="F7:F18" si="0">E7*D7</f>
        <v>108000</v>
      </c>
      <c r="G7" s="36">
        <v>40</v>
      </c>
      <c r="H7" s="226">
        <v>12000</v>
      </c>
      <c r="I7" s="226">
        <v>12000</v>
      </c>
      <c r="J7" s="228">
        <v>12000</v>
      </c>
      <c r="K7" s="226"/>
      <c r="L7" s="226"/>
      <c r="M7" s="39"/>
      <c r="N7" s="226"/>
      <c r="O7" s="40"/>
      <c r="P7" s="350"/>
      <c r="Q7" s="354">
        <f t="shared" ref="Q7:Q18" si="1">SUM(H7:P7)</f>
        <v>36000</v>
      </c>
      <c r="R7" s="355">
        <f t="shared" ref="R7:R18" si="2">F7-Q7</f>
        <v>72000</v>
      </c>
      <c r="S7" s="2"/>
      <c r="T7" s="2"/>
      <c r="U7" s="2"/>
      <c r="V7" s="2"/>
      <c r="W7" s="2"/>
    </row>
    <row r="8" spans="1:23">
      <c r="A8" s="41">
        <v>2</v>
      </c>
      <c r="B8" s="30" t="s">
        <v>117</v>
      </c>
      <c r="C8" s="31" t="s">
        <v>118</v>
      </c>
      <c r="D8" s="33">
        <v>9</v>
      </c>
      <c r="E8" s="231">
        <v>7000</v>
      </c>
      <c r="F8" s="232">
        <f t="shared" si="0"/>
        <v>63000</v>
      </c>
      <c r="G8" s="36">
        <v>40</v>
      </c>
      <c r="H8" s="231">
        <v>7000</v>
      </c>
      <c r="I8" s="231">
        <v>7000</v>
      </c>
      <c r="J8" s="228">
        <v>7000</v>
      </c>
      <c r="K8" s="231"/>
      <c r="L8" s="231"/>
      <c r="M8" s="231"/>
      <c r="N8" s="38"/>
      <c r="O8" s="231"/>
      <c r="P8" s="351"/>
      <c r="Q8" s="354">
        <f t="shared" si="1"/>
        <v>21000</v>
      </c>
      <c r="R8" s="355">
        <f t="shared" si="2"/>
        <v>42000</v>
      </c>
      <c r="S8" s="2"/>
      <c r="T8" s="2"/>
      <c r="U8" s="2"/>
      <c r="V8" s="2"/>
      <c r="W8" s="2"/>
    </row>
    <row r="9" spans="1:23">
      <c r="A9" s="41">
        <v>3</v>
      </c>
      <c r="B9" s="30" t="s">
        <v>119</v>
      </c>
      <c r="C9" s="30" t="s">
        <v>120</v>
      </c>
      <c r="D9" s="33">
        <v>9</v>
      </c>
      <c r="E9" s="231">
        <v>5000</v>
      </c>
      <c r="F9" s="232">
        <f t="shared" si="0"/>
        <v>45000</v>
      </c>
      <c r="G9" s="44">
        <v>40</v>
      </c>
      <c r="H9" s="231">
        <v>5000</v>
      </c>
      <c r="I9" s="231">
        <v>5000</v>
      </c>
      <c r="J9" s="38"/>
      <c r="K9" s="231"/>
      <c r="L9" s="231"/>
      <c r="M9" s="231"/>
      <c r="N9" s="38"/>
      <c r="O9" s="231"/>
      <c r="P9" s="351"/>
      <c r="Q9" s="354">
        <f t="shared" si="1"/>
        <v>10000</v>
      </c>
      <c r="R9" s="355">
        <f t="shared" si="2"/>
        <v>35000</v>
      </c>
      <c r="S9" s="2"/>
      <c r="T9" s="2"/>
      <c r="U9" s="2"/>
      <c r="V9" s="2"/>
      <c r="W9" s="2"/>
    </row>
    <row r="10" spans="1:23">
      <c r="A10" s="41">
        <v>4</v>
      </c>
      <c r="B10" s="30" t="s">
        <v>121</v>
      </c>
      <c r="C10" s="365" t="s">
        <v>122</v>
      </c>
      <c r="D10" s="33">
        <v>9</v>
      </c>
      <c r="E10" s="231">
        <v>5000</v>
      </c>
      <c r="F10" s="232">
        <f t="shared" si="0"/>
        <v>45000</v>
      </c>
      <c r="G10" s="44">
        <v>40</v>
      </c>
      <c r="H10" s="231">
        <v>5000</v>
      </c>
      <c r="I10" s="231">
        <v>5000</v>
      </c>
      <c r="J10" s="38"/>
      <c r="K10" s="231"/>
      <c r="L10" s="231"/>
      <c r="M10" s="231"/>
      <c r="N10" s="38"/>
      <c r="O10" s="231"/>
      <c r="P10" s="45"/>
      <c r="Q10" s="229">
        <f t="shared" si="1"/>
        <v>10000</v>
      </c>
      <c r="R10" s="234">
        <f t="shared" si="2"/>
        <v>35000</v>
      </c>
      <c r="S10" s="2"/>
      <c r="T10" s="2"/>
      <c r="U10" s="2"/>
      <c r="V10" s="2"/>
      <c r="W10" s="2"/>
    </row>
    <row r="11" spans="1:23">
      <c r="A11" s="41">
        <v>5</v>
      </c>
      <c r="B11" s="30" t="s">
        <v>123</v>
      </c>
      <c r="C11" s="365" t="s">
        <v>124</v>
      </c>
      <c r="D11" s="33">
        <v>9</v>
      </c>
      <c r="E11" s="231">
        <v>5000</v>
      </c>
      <c r="F11" s="232">
        <f t="shared" si="0"/>
        <v>45000</v>
      </c>
      <c r="G11" s="44">
        <v>40</v>
      </c>
      <c r="H11" s="231">
        <v>5000</v>
      </c>
      <c r="I11" s="231">
        <v>5000</v>
      </c>
      <c r="J11" s="228">
        <v>5000</v>
      </c>
      <c r="K11" s="231"/>
      <c r="L11" s="231"/>
      <c r="M11" s="231"/>
      <c r="N11" s="38"/>
      <c r="O11" s="231"/>
      <c r="P11" s="45"/>
      <c r="Q11" s="229">
        <f t="shared" si="1"/>
        <v>15000</v>
      </c>
      <c r="R11" s="230">
        <f t="shared" si="2"/>
        <v>30000</v>
      </c>
      <c r="S11" s="2"/>
      <c r="T11" s="2"/>
      <c r="U11" s="2"/>
      <c r="V11" s="2"/>
      <c r="W11" s="2"/>
    </row>
    <row r="12" spans="1:23" ht="30" customHeight="1">
      <c r="A12" s="41">
        <v>6</v>
      </c>
      <c r="B12" s="30" t="s">
        <v>125</v>
      </c>
      <c r="C12" s="366" t="s">
        <v>126</v>
      </c>
      <c r="D12" s="33">
        <v>9</v>
      </c>
      <c r="E12" s="231">
        <v>5000</v>
      </c>
      <c r="F12" s="232">
        <f t="shared" si="0"/>
        <v>45000</v>
      </c>
      <c r="G12" s="44">
        <v>40</v>
      </c>
      <c r="H12" s="231">
        <v>5000</v>
      </c>
      <c r="I12" s="231">
        <v>5000</v>
      </c>
      <c r="J12" s="231"/>
      <c r="K12" s="231"/>
      <c r="L12" s="231"/>
      <c r="M12" s="231"/>
      <c r="N12" s="38"/>
      <c r="O12" s="231"/>
      <c r="P12" s="45"/>
      <c r="Q12" s="229">
        <f t="shared" si="1"/>
        <v>10000</v>
      </c>
      <c r="R12" s="230">
        <f t="shared" si="2"/>
        <v>35000</v>
      </c>
      <c r="S12" s="2"/>
      <c r="T12" s="2"/>
      <c r="U12" s="2"/>
      <c r="V12" s="2"/>
      <c r="W12" s="2"/>
    </row>
    <row r="13" spans="1:23">
      <c r="A13" s="41">
        <v>7</v>
      </c>
      <c r="B13" s="30" t="s">
        <v>127</v>
      </c>
      <c r="C13" s="365" t="s">
        <v>128</v>
      </c>
      <c r="D13" s="33">
        <v>9</v>
      </c>
      <c r="E13" s="231">
        <v>2000</v>
      </c>
      <c r="F13" s="232">
        <f t="shared" si="0"/>
        <v>18000</v>
      </c>
      <c r="G13" s="44">
        <v>40</v>
      </c>
      <c r="H13" s="231">
        <v>2000</v>
      </c>
      <c r="I13" s="231">
        <v>2000</v>
      </c>
      <c r="J13" s="233">
        <v>2000</v>
      </c>
      <c r="K13" s="231"/>
      <c r="L13" s="231"/>
      <c r="M13" s="231"/>
      <c r="N13" s="38"/>
      <c r="O13" s="231"/>
      <c r="P13" s="45"/>
      <c r="Q13" s="229">
        <f t="shared" si="1"/>
        <v>6000</v>
      </c>
      <c r="R13" s="230">
        <f t="shared" si="2"/>
        <v>12000</v>
      </c>
      <c r="S13" s="2"/>
      <c r="T13" s="2"/>
      <c r="U13" s="2"/>
      <c r="V13" s="2"/>
      <c r="W13" s="2"/>
    </row>
    <row r="14" spans="1:23" ht="30" customHeight="1">
      <c r="A14" s="41">
        <v>8</v>
      </c>
      <c r="B14" s="30" t="s">
        <v>129</v>
      </c>
      <c r="C14" s="365" t="s">
        <v>130</v>
      </c>
      <c r="D14" s="33">
        <v>8</v>
      </c>
      <c r="E14" s="231">
        <v>2125</v>
      </c>
      <c r="F14" s="232">
        <f t="shared" si="0"/>
        <v>17000</v>
      </c>
      <c r="G14" s="44">
        <v>40</v>
      </c>
      <c r="H14" s="231">
        <v>2125</v>
      </c>
      <c r="I14" s="231">
        <v>2125</v>
      </c>
      <c r="J14" s="46"/>
      <c r="K14" s="231"/>
      <c r="L14" s="231"/>
      <c r="M14" s="231"/>
      <c r="N14" s="38"/>
      <c r="O14" s="231"/>
      <c r="P14" s="45"/>
      <c r="Q14" s="229">
        <f t="shared" si="1"/>
        <v>4250</v>
      </c>
      <c r="R14" s="230">
        <f t="shared" si="2"/>
        <v>12750</v>
      </c>
      <c r="S14" s="2"/>
      <c r="T14" s="2"/>
      <c r="U14" s="2"/>
      <c r="V14" s="2"/>
      <c r="W14" s="2"/>
    </row>
    <row r="15" spans="1:23" ht="30" customHeight="1">
      <c r="A15" s="41">
        <v>9</v>
      </c>
      <c r="B15" s="30" t="s">
        <v>131</v>
      </c>
      <c r="C15" s="365" t="s">
        <v>132</v>
      </c>
      <c r="D15" s="33">
        <v>9</v>
      </c>
      <c r="E15" s="231">
        <v>2000</v>
      </c>
      <c r="F15" s="232">
        <f t="shared" si="0"/>
        <v>18000</v>
      </c>
      <c r="G15" s="44">
        <v>40</v>
      </c>
      <c r="H15" s="231">
        <v>2000</v>
      </c>
      <c r="I15" s="231">
        <v>2000</v>
      </c>
      <c r="J15" s="233">
        <v>2000</v>
      </c>
      <c r="K15" s="231"/>
      <c r="L15" s="231"/>
      <c r="M15" s="231"/>
      <c r="N15" s="38"/>
      <c r="O15" s="231"/>
      <c r="P15" s="45"/>
      <c r="Q15" s="229">
        <f t="shared" si="1"/>
        <v>6000</v>
      </c>
      <c r="R15" s="230">
        <f t="shared" si="2"/>
        <v>12000</v>
      </c>
      <c r="S15" s="2"/>
      <c r="T15" s="2"/>
      <c r="U15" s="2"/>
      <c r="V15" s="2"/>
      <c r="W15" s="2"/>
    </row>
    <row r="16" spans="1:23" ht="30" customHeight="1">
      <c r="A16" s="41">
        <v>10</v>
      </c>
      <c r="B16" s="30" t="s">
        <v>133</v>
      </c>
      <c r="C16" s="366" t="s">
        <v>134</v>
      </c>
      <c r="D16" s="33">
        <v>9</v>
      </c>
      <c r="E16" s="231">
        <v>2000</v>
      </c>
      <c r="F16" s="232">
        <f t="shared" si="0"/>
        <v>18000</v>
      </c>
      <c r="G16" s="44">
        <v>40</v>
      </c>
      <c r="H16" s="231">
        <v>2000</v>
      </c>
      <c r="I16" s="231">
        <v>2000</v>
      </c>
      <c r="J16" s="233">
        <v>2000</v>
      </c>
      <c r="K16" s="231"/>
      <c r="L16" s="231"/>
      <c r="M16" s="231"/>
      <c r="N16" s="38"/>
      <c r="O16" s="231"/>
      <c r="P16" s="45"/>
      <c r="Q16" s="229">
        <f t="shared" si="1"/>
        <v>6000</v>
      </c>
      <c r="R16" s="230">
        <f t="shared" si="2"/>
        <v>12000</v>
      </c>
      <c r="S16" s="2"/>
      <c r="T16" s="2"/>
      <c r="U16" s="2"/>
      <c r="V16" s="2"/>
      <c r="W16" s="2"/>
    </row>
    <row r="17" spans="1:23" ht="30" customHeight="1">
      <c r="A17" s="41">
        <v>11</v>
      </c>
      <c r="B17" s="30" t="s">
        <v>135</v>
      </c>
      <c r="C17" s="365" t="s">
        <v>136</v>
      </c>
      <c r="D17" s="33">
        <v>9</v>
      </c>
      <c r="E17" s="231">
        <v>2000</v>
      </c>
      <c r="F17" s="232">
        <f t="shared" si="0"/>
        <v>18000</v>
      </c>
      <c r="G17" s="44">
        <v>40</v>
      </c>
      <c r="H17" s="231">
        <v>2000</v>
      </c>
      <c r="I17" s="231">
        <v>2000</v>
      </c>
      <c r="J17" s="46"/>
      <c r="K17" s="231"/>
      <c r="L17" s="231"/>
      <c r="M17" s="231"/>
      <c r="N17" s="38"/>
      <c r="O17" s="231"/>
      <c r="P17" s="45"/>
      <c r="Q17" s="229">
        <f t="shared" si="1"/>
        <v>4000</v>
      </c>
      <c r="R17" s="230">
        <f t="shared" si="2"/>
        <v>14000</v>
      </c>
      <c r="S17" s="2"/>
      <c r="T17" s="2"/>
      <c r="U17" s="2"/>
      <c r="V17" s="2"/>
      <c r="W17" s="2"/>
    </row>
    <row r="18" spans="1:23">
      <c r="A18" s="41">
        <v>12</v>
      </c>
      <c r="B18" s="30" t="s">
        <v>137</v>
      </c>
      <c r="C18" s="30" t="s">
        <v>138</v>
      </c>
      <c r="D18" s="33">
        <v>9</v>
      </c>
      <c r="E18" s="231">
        <v>2000</v>
      </c>
      <c r="F18" s="232">
        <f t="shared" si="0"/>
        <v>18000</v>
      </c>
      <c r="G18" s="44">
        <v>40</v>
      </c>
      <c r="H18" s="232">
        <v>2000</v>
      </c>
      <c r="I18" s="231">
        <v>2000</v>
      </c>
      <c r="J18" s="233">
        <v>2000</v>
      </c>
      <c r="K18" s="231"/>
      <c r="L18" s="231"/>
      <c r="M18" s="231"/>
      <c r="N18" s="38"/>
      <c r="O18" s="231"/>
      <c r="P18" s="45"/>
      <c r="Q18" s="229">
        <f t="shared" si="1"/>
        <v>6000</v>
      </c>
      <c r="R18" s="230">
        <f t="shared" si="2"/>
        <v>12000</v>
      </c>
      <c r="S18" s="2"/>
      <c r="T18" s="2"/>
      <c r="U18" s="2"/>
      <c r="V18" s="2"/>
      <c r="W18" s="2"/>
    </row>
    <row r="19" spans="1:23">
      <c r="A19" s="49"/>
      <c r="B19" s="30"/>
      <c r="C19" s="43"/>
      <c r="D19" s="31"/>
      <c r="E19" s="231"/>
      <c r="F19" s="42"/>
      <c r="G19" s="31"/>
      <c r="H19" s="42"/>
      <c r="I19" s="231"/>
      <c r="J19" s="50"/>
      <c r="K19" s="231"/>
      <c r="L19" s="231"/>
      <c r="M19" s="231"/>
      <c r="N19" s="38"/>
      <c r="O19" s="231"/>
      <c r="P19" s="45"/>
      <c r="Q19" s="229"/>
      <c r="R19" s="230"/>
      <c r="S19" s="2"/>
      <c r="T19" s="2"/>
      <c r="U19" s="2"/>
      <c r="V19" s="2"/>
      <c r="W19" s="2"/>
    </row>
    <row r="20" spans="1:23">
      <c r="A20" s="41"/>
      <c r="B20" s="30"/>
      <c r="C20" s="43"/>
      <c r="D20" s="31"/>
      <c r="E20" s="231"/>
      <c r="F20" s="42"/>
      <c r="G20" s="31"/>
      <c r="H20" s="42"/>
      <c r="I20" s="231"/>
      <c r="J20" s="50"/>
      <c r="K20" s="231"/>
      <c r="L20" s="231"/>
      <c r="M20" s="231"/>
      <c r="N20" s="38"/>
      <c r="O20" s="231"/>
      <c r="P20" s="45"/>
      <c r="Q20" s="229"/>
      <c r="R20" s="230"/>
      <c r="S20" s="2"/>
      <c r="T20" s="2"/>
      <c r="U20" s="2"/>
      <c r="V20" s="2"/>
      <c r="W20" s="2"/>
    </row>
    <row r="21" spans="1:23" ht="15.75" customHeight="1">
      <c r="A21" s="49"/>
      <c r="B21" s="30"/>
      <c r="C21" s="51"/>
      <c r="D21" s="31"/>
      <c r="E21" s="231"/>
      <c r="F21" s="42"/>
      <c r="G21" s="31"/>
      <c r="H21" s="42"/>
      <c r="I21" s="231"/>
      <c r="J21" s="50"/>
      <c r="K21" s="231"/>
      <c r="L21" s="231"/>
      <c r="M21" s="231"/>
      <c r="N21" s="38"/>
      <c r="O21" s="231"/>
      <c r="P21" s="45"/>
      <c r="Q21" s="229"/>
      <c r="R21" s="230"/>
      <c r="S21" s="2"/>
      <c r="T21" s="2"/>
      <c r="U21" s="2"/>
      <c r="V21" s="2"/>
      <c r="W21" s="2"/>
    </row>
    <row r="22" spans="1:23" ht="15.75" customHeight="1">
      <c r="A22" s="283" t="s">
        <v>23</v>
      </c>
      <c r="B22" s="284"/>
      <c r="C22" s="284"/>
      <c r="D22" s="284"/>
      <c r="E22" s="52">
        <f>SUM(E7:E18)</f>
        <v>51125</v>
      </c>
      <c r="F22" s="52">
        <f>SUM(F7:F18)</f>
        <v>458000</v>
      </c>
      <c r="G22" s="53"/>
      <c r="H22" s="54">
        <f t="shared" ref="H22:R22" si="3">SUM(H7:H18)</f>
        <v>51125</v>
      </c>
      <c r="I22" s="54">
        <f t="shared" si="3"/>
        <v>51125</v>
      </c>
      <c r="J22" s="54">
        <f t="shared" si="3"/>
        <v>32000</v>
      </c>
      <c r="K22" s="54">
        <f t="shared" si="3"/>
        <v>0</v>
      </c>
      <c r="L22" s="54">
        <f t="shared" si="3"/>
        <v>0</v>
      </c>
      <c r="M22" s="54">
        <f t="shared" si="3"/>
        <v>0</v>
      </c>
      <c r="N22" s="54">
        <f t="shared" si="3"/>
        <v>0</v>
      </c>
      <c r="O22" s="54">
        <f t="shared" si="3"/>
        <v>0</v>
      </c>
      <c r="P22" s="54">
        <f t="shared" si="3"/>
        <v>0</v>
      </c>
      <c r="Q22" s="52">
        <f t="shared" si="3"/>
        <v>134250</v>
      </c>
      <c r="R22" s="55">
        <f t="shared" si="3"/>
        <v>323750</v>
      </c>
      <c r="S22" s="2"/>
      <c r="T22" s="2"/>
      <c r="U22" s="2"/>
      <c r="V22" s="2"/>
      <c r="W22" s="2"/>
    </row>
    <row r="23" spans="1:23" ht="15.75" customHeight="1">
      <c r="A23" s="2"/>
      <c r="B23" s="2"/>
      <c r="C23" s="2"/>
      <c r="D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2"/>
      <c r="T24" s="2"/>
      <c r="U24" s="2"/>
      <c r="V24" s="2"/>
      <c r="W24" s="2"/>
    </row>
    <row r="25" spans="1:23" ht="15.75" customHeight="1">
      <c r="A25" s="286" t="s">
        <v>139</v>
      </c>
      <c r="B25" s="255"/>
      <c r="C25" s="255"/>
      <c r="D25" s="255"/>
      <c r="E25" s="255"/>
      <c r="F25" s="255"/>
      <c r="G25" s="255"/>
      <c r="H25" s="21"/>
      <c r="I25" s="21"/>
      <c r="J25" s="21"/>
      <c r="K25" s="21"/>
      <c r="L25" s="21"/>
      <c r="M25" s="21"/>
      <c r="N25" s="21"/>
      <c r="O25" s="21"/>
      <c r="P25" s="21"/>
      <c r="Q25" s="24"/>
      <c r="R25" s="26"/>
      <c r="S25" s="2"/>
      <c r="T25" s="2"/>
      <c r="U25" s="2"/>
      <c r="V25" s="2"/>
      <c r="W25" s="2"/>
    </row>
    <row r="26" spans="1:23" ht="15.75" customHeight="1">
      <c r="A26" s="29">
        <v>1</v>
      </c>
      <c r="B26" s="128" t="s">
        <v>140</v>
      </c>
      <c r="C26" s="129" t="s">
        <v>141</v>
      </c>
      <c r="D26" s="33">
        <v>8</v>
      </c>
      <c r="E26" s="226">
        <v>2800</v>
      </c>
      <c r="F26" s="226">
        <f>E26*D26</f>
        <v>22400</v>
      </c>
      <c r="G26" s="33">
        <v>20</v>
      </c>
      <c r="H26" s="226">
        <v>2800</v>
      </c>
      <c r="I26" s="226">
        <v>2800</v>
      </c>
      <c r="J26" s="226">
        <v>2800</v>
      </c>
      <c r="K26" s="226"/>
      <c r="L26" s="226"/>
      <c r="M26" s="226"/>
      <c r="N26" s="39"/>
      <c r="O26" s="226"/>
      <c r="P26" s="56"/>
      <c r="Q26" s="229">
        <f>SUM(H26:P26)</f>
        <v>8400</v>
      </c>
      <c r="R26" s="234">
        <f>F26-Q26</f>
        <v>14000</v>
      </c>
      <c r="S26" s="2"/>
      <c r="T26" s="2"/>
      <c r="U26" s="2"/>
      <c r="V26" s="2"/>
      <c r="W26" s="2"/>
    </row>
    <row r="27" spans="1:23" ht="15.75" customHeight="1">
      <c r="A27" s="41"/>
      <c r="B27" s="41"/>
      <c r="C27" s="41"/>
      <c r="D27" s="31"/>
      <c r="E27" s="231"/>
      <c r="F27" s="231"/>
      <c r="G27" s="31"/>
      <c r="H27" s="231"/>
      <c r="I27" s="231"/>
      <c r="J27" s="50"/>
      <c r="K27" s="231"/>
      <c r="L27" s="231"/>
      <c r="M27" s="231"/>
      <c r="N27" s="57"/>
      <c r="O27" s="231"/>
      <c r="P27" s="45"/>
      <c r="Q27" s="229"/>
      <c r="R27" s="234"/>
      <c r="S27" s="2"/>
      <c r="T27" s="2"/>
      <c r="U27" s="2"/>
      <c r="V27" s="2"/>
      <c r="W27" s="2"/>
    </row>
    <row r="28" spans="1:23" ht="15.75" customHeight="1">
      <c r="A28" s="283" t="s">
        <v>23</v>
      </c>
      <c r="B28" s="284"/>
      <c r="C28" s="284"/>
      <c r="D28" s="284"/>
      <c r="E28" s="58">
        <f>E26</f>
        <v>2800</v>
      </c>
      <c r="F28" s="58">
        <f>F26</f>
        <v>22400</v>
      </c>
      <c r="G28" s="59"/>
      <c r="H28" s="235">
        <f t="shared" ref="H28:R28" si="4">H26</f>
        <v>2800</v>
      </c>
      <c r="I28" s="235">
        <f t="shared" si="4"/>
        <v>2800</v>
      </c>
      <c r="J28" s="58">
        <f t="shared" si="4"/>
        <v>2800</v>
      </c>
      <c r="K28" s="235">
        <f t="shared" si="4"/>
        <v>0</v>
      </c>
      <c r="L28" s="235">
        <f t="shared" si="4"/>
        <v>0</v>
      </c>
      <c r="M28" s="58">
        <f t="shared" si="4"/>
        <v>0</v>
      </c>
      <c r="N28" s="58">
        <f t="shared" si="4"/>
        <v>0</v>
      </c>
      <c r="O28" s="58">
        <f t="shared" si="4"/>
        <v>0</v>
      </c>
      <c r="P28" s="58">
        <f t="shared" si="4"/>
        <v>0</v>
      </c>
      <c r="Q28" s="58">
        <f t="shared" si="4"/>
        <v>8400</v>
      </c>
      <c r="R28" s="60">
        <f t="shared" si="4"/>
        <v>14000</v>
      </c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3"/>
      <c r="E31" s="236"/>
      <c r="F31" s="2"/>
      <c r="G31" s="2"/>
      <c r="H31" s="2"/>
      <c r="I31" s="62"/>
      <c r="J31" s="62"/>
      <c r="K31" s="2"/>
      <c r="L31" s="2"/>
      <c r="M31" s="2"/>
      <c r="N31" s="2"/>
      <c r="O31" s="2"/>
      <c r="P31" s="2"/>
      <c r="Q31" s="2"/>
      <c r="R31" s="3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3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36"/>
      <c r="G34" s="236"/>
      <c r="H34" s="2"/>
      <c r="I34" s="2"/>
      <c r="J34" s="236"/>
      <c r="K34" s="2"/>
      <c r="L34" s="2"/>
      <c r="M34" s="2"/>
      <c r="N34" s="2"/>
      <c r="O34" s="2"/>
      <c r="P34" s="2"/>
      <c r="Q34" s="2"/>
      <c r="R34" s="3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3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36"/>
      <c r="K36" s="2"/>
      <c r="L36" s="2"/>
      <c r="M36" s="2"/>
      <c r="N36" s="2"/>
      <c r="O36" s="2"/>
      <c r="P36" s="2"/>
      <c r="Q36" s="2"/>
      <c r="R36" s="3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3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3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3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3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3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3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3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3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3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3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3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3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3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3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3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3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3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3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3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3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3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3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3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3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3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3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3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3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3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3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3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3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3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3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3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3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3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3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3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3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3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3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3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3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3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3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3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3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3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3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3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3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3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3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3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3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3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3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3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3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3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3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3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3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3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3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3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3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3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3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3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3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3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3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3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3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3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3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3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3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3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3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3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3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3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3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3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3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3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3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3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3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3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3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3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3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3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3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3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3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3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3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3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3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3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3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3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3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3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3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3"/>
      <c r="S229" s="2"/>
      <c r="T229" s="2"/>
      <c r="U229" s="2"/>
      <c r="V229" s="2"/>
      <c r="W229" s="2"/>
    </row>
    <row r="230" spans="1:23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3"/>
      <c r="S230" s="2"/>
      <c r="T230" s="2"/>
      <c r="U230" s="2"/>
      <c r="V230" s="2"/>
      <c r="W230" s="2"/>
    </row>
    <row r="231" spans="1:23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3"/>
      <c r="S231" s="2"/>
      <c r="T231" s="2"/>
      <c r="U231" s="2"/>
      <c r="V231" s="2"/>
      <c r="W231" s="2"/>
    </row>
    <row r="232" spans="1:23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3"/>
      <c r="S232" s="2"/>
      <c r="T232" s="2"/>
      <c r="U232" s="2"/>
      <c r="V232" s="2"/>
      <c r="W232" s="2"/>
    </row>
    <row r="233" spans="1:2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3"/>
      <c r="S233" s="2"/>
      <c r="T233" s="2"/>
      <c r="U233" s="2"/>
      <c r="V233" s="2"/>
      <c r="W233" s="2"/>
    </row>
    <row r="234" spans="1:23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3"/>
      <c r="S234" s="2"/>
      <c r="T234" s="2"/>
      <c r="U234" s="2"/>
      <c r="V234" s="2"/>
      <c r="W234" s="2"/>
    </row>
    <row r="235" spans="1:23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3"/>
      <c r="S235" s="2"/>
      <c r="T235" s="2"/>
      <c r="U235" s="2"/>
      <c r="V235" s="2"/>
      <c r="W235" s="2"/>
    </row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A25:G25"/>
    <mergeCell ref="A28:D28"/>
    <mergeCell ref="A22:D22"/>
    <mergeCell ref="A2:R2"/>
    <mergeCell ref="A6:G6"/>
    <mergeCell ref="A3:A4"/>
    <mergeCell ref="C3:C4"/>
    <mergeCell ref="B3:B4"/>
    <mergeCell ref="E3:E4"/>
    <mergeCell ref="H5:P5"/>
    <mergeCell ref="R3:R4"/>
    <mergeCell ref="F3:F4"/>
    <mergeCell ref="D3:D4"/>
    <mergeCell ref="G3:G4"/>
    <mergeCell ref="Q3:Q4"/>
  </mergeCells>
  <pageMargins left="0.511811024" right="0.511811024" top="0.78740157499999996" bottom="0.78740157499999996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000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14" sqref="A14"/>
    </sheetView>
  </sheetViews>
  <sheetFormatPr defaultColWidth="14.42578125" defaultRowHeight="15" customHeight="1"/>
  <cols>
    <col min="1" max="1" width="67.140625" style="133" customWidth="1"/>
    <col min="2" max="2" width="20.85546875" style="133" customWidth="1"/>
    <col min="3" max="3" width="14.28515625" style="133" customWidth="1"/>
    <col min="4" max="4" width="5.85546875" style="133" customWidth="1"/>
    <col min="5" max="5" width="71.85546875" style="133" customWidth="1"/>
    <col min="6" max="6" width="19.5703125" style="133" customWidth="1"/>
    <col min="7" max="7" width="19.7109375" style="133" customWidth="1"/>
    <col min="8" max="8" width="7.5703125" style="133" customWidth="1"/>
    <col min="9" max="9" width="74.140625" style="133" customWidth="1"/>
    <col min="10" max="10" width="20" style="133" customWidth="1"/>
    <col min="11" max="11" width="10.7109375" style="133" customWidth="1"/>
    <col min="12" max="12" width="5.42578125" style="133" customWidth="1"/>
  </cols>
  <sheetData>
    <row r="1" spans="1:15" ht="26.25" customHeight="1">
      <c r="A1" s="293" t="s">
        <v>142</v>
      </c>
      <c r="B1" s="275"/>
      <c r="C1" s="275"/>
      <c r="D1" s="275"/>
      <c r="E1" s="275"/>
      <c r="F1" s="275"/>
      <c r="G1" s="275"/>
      <c r="H1" s="2"/>
      <c r="I1" s="2"/>
      <c r="J1" s="2"/>
      <c r="K1" s="2"/>
      <c r="L1" s="2"/>
      <c r="M1" s="2"/>
      <c r="N1" s="2"/>
      <c r="O1" s="2"/>
    </row>
    <row r="2" spans="1:15" ht="15.75" customHeight="1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9.25" customHeight="1">
      <c r="A3" s="294" t="s">
        <v>143</v>
      </c>
      <c r="B3" s="264"/>
      <c r="C3" s="262"/>
      <c r="D3" s="82"/>
      <c r="E3" s="294" t="s">
        <v>144</v>
      </c>
      <c r="F3" s="264"/>
      <c r="G3" s="262"/>
      <c r="H3" s="82"/>
      <c r="I3" s="290" t="s">
        <v>145</v>
      </c>
      <c r="J3" s="291"/>
      <c r="K3" s="292"/>
      <c r="L3" s="82"/>
      <c r="M3" s="2"/>
      <c r="N3" s="2"/>
      <c r="O3" s="2"/>
    </row>
    <row r="4" spans="1:15" ht="18.75" customHeight="1">
      <c r="A4" s="120" t="s">
        <v>5</v>
      </c>
      <c r="B4" s="120" t="s">
        <v>6</v>
      </c>
      <c r="C4" s="120" t="s">
        <v>7</v>
      </c>
      <c r="D4" s="82"/>
      <c r="E4" s="130" t="s">
        <v>5</v>
      </c>
      <c r="F4" s="130" t="s">
        <v>6</v>
      </c>
      <c r="G4" s="130" t="s">
        <v>7</v>
      </c>
      <c r="H4" s="82"/>
      <c r="I4" s="86" t="s">
        <v>5</v>
      </c>
      <c r="J4" s="87" t="s">
        <v>6</v>
      </c>
      <c r="K4" s="88" t="s">
        <v>7</v>
      </c>
      <c r="L4" s="82"/>
      <c r="M4" s="2"/>
      <c r="N4" s="2"/>
      <c r="O4" s="2"/>
    </row>
    <row r="5" spans="1:15" ht="75" customHeight="1">
      <c r="A5" s="122" t="s">
        <v>8</v>
      </c>
      <c r="B5" s="237"/>
      <c r="C5" s="123" t="e">
        <f>B5/B21</f>
        <v>#DIV/0!</v>
      </c>
      <c r="D5" s="90"/>
      <c r="E5" s="122" t="s">
        <v>8</v>
      </c>
      <c r="F5" s="237"/>
      <c r="G5" s="123" t="e">
        <f>F5/F21</f>
        <v>#DIV/0!</v>
      </c>
      <c r="H5" s="82"/>
      <c r="I5" s="117" t="s">
        <v>8</v>
      </c>
      <c r="J5" s="238"/>
      <c r="K5" s="89" t="e">
        <f>J5/J21</f>
        <v>#DIV/0!</v>
      </c>
      <c r="L5" s="82"/>
      <c r="M5" s="2"/>
      <c r="N5" s="2"/>
      <c r="O5" s="2"/>
    </row>
    <row r="6" spans="1:15" ht="56.25" customHeight="1">
      <c r="A6" s="122" t="s">
        <v>146</v>
      </c>
      <c r="B6" s="237"/>
      <c r="C6" s="123" t="e">
        <f>B6/B21</f>
        <v>#DIV/0!</v>
      </c>
      <c r="D6" s="90"/>
      <c r="E6" s="115" t="s">
        <v>9</v>
      </c>
      <c r="F6" s="239"/>
      <c r="G6" s="121" t="e">
        <f>F6/F21</f>
        <v>#DIV/0!</v>
      </c>
      <c r="H6" s="82"/>
      <c r="I6" s="117" t="s">
        <v>9</v>
      </c>
      <c r="J6" s="238"/>
      <c r="K6" s="89" t="e">
        <f>J6/J21</f>
        <v>#DIV/0!</v>
      </c>
      <c r="L6" s="82"/>
      <c r="M6" s="2"/>
      <c r="N6" s="2"/>
      <c r="O6" s="2"/>
    </row>
    <row r="7" spans="1:15" ht="18.75" customHeight="1">
      <c r="A7" s="122" t="s">
        <v>10</v>
      </c>
      <c r="B7" s="237"/>
      <c r="C7" s="123" t="e">
        <f>B7/B21</f>
        <v>#DIV/0!</v>
      </c>
      <c r="D7" s="90"/>
      <c r="E7" s="115" t="s">
        <v>147</v>
      </c>
      <c r="F7" s="237"/>
      <c r="G7" s="89" t="e">
        <f>F7/F21</f>
        <v>#DIV/0!</v>
      </c>
      <c r="H7" s="82"/>
      <c r="I7" s="117" t="s">
        <v>147</v>
      </c>
      <c r="J7" s="238"/>
      <c r="K7" s="89" t="e">
        <f>J7/J21</f>
        <v>#DIV/0!</v>
      </c>
      <c r="L7" s="82"/>
      <c r="M7" s="2"/>
      <c r="N7" s="2"/>
      <c r="O7" s="2"/>
    </row>
    <row r="8" spans="1:15" ht="18.75" customHeight="1">
      <c r="A8" s="122" t="s">
        <v>148</v>
      </c>
      <c r="B8" s="237"/>
      <c r="C8" s="123" t="e">
        <f>B8/B21</f>
        <v>#DIV/0!</v>
      </c>
      <c r="D8" s="90"/>
      <c r="E8" s="115" t="s">
        <v>149</v>
      </c>
      <c r="F8" s="237"/>
      <c r="G8" s="89" t="e">
        <f>F8/F21</f>
        <v>#DIV/0!</v>
      </c>
      <c r="H8" s="82"/>
      <c r="I8" s="117" t="s">
        <v>149</v>
      </c>
      <c r="J8" s="238"/>
      <c r="K8" s="89" t="e">
        <f>J8/J21</f>
        <v>#DIV/0!</v>
      </c>
      <c r="L8" s="82"/>
      <c r="M8" s="2"/>
      <c r="N8" s="2"/>
      <c r="O8" s="2"/>
    </row>
    <row r="9" spans="1:15" ht="18.75" customHeight="1">
      <c r="A9" s="122" t="s">
        <v>150</v>
      </c>
      <c r="B9" s="119">
        <v>0</v>
      </c>
      <c r="C9" s="123" t="e">
        <f>B9/B21</f>
        <v>#DIV/0!</v>
      </c>
      <c r="D9" s="93"/>
      <c r="E9" s="116" t="s">
        <v>150</v>
      </c>
      <c r="F9" s="237"/>
      <c r="G9" s="92" t="e">
        <f>F9/F21</f>
        <v>#DIV/0!</v>
      </c>
      <c r="H9" s="94"/>
      <c r="I9" s="118" t="s">
        <v>150</v>
      </c>
      <c r="J9" s="238"/>
      <c r="K9" s="92" t="e">
        <f>J9/J21</f>
        <v>#DIV/0!</v>
      </c>
      <c r="L9" s="95"/>
      <c r="M9" s="96"/>
      <c r="N9" s="96"/>
      <c r="O9" s="96"/>
    </row>
    <row r="10" spans="1:15" ht="18.75" customHeight="1">
      <c r="A10" s="122" t="s">
        <v>151</v>
      </c>
      <c r="B10" s="237"/>
      <c r="C10" s="123" t="e">
        <f>B10/B21</f>
        <v>#DIV/0!</v>
      </c>
      <c r="D10" s="90"/>
      <c r="E10" s="115" t="s">
        <v>152</v>
      </c>
      <c r="F10" s="237">
        <v>0</v>
      </c>
      <c r="G10" s="89" t="e">
        <f>F10/F21</f>
        <v>#DIV/0!</v>
      </c>
      <c r="H10" s="82"/>
      <c r="I10" s="117" t="s">
        <v>152</v>
      </c>
      <c r="J10" s="238"/>
      <c r="K10" s="89" t="e">
        <f>J10/J21</f>
        <v>#DIV/0!</v>
      </c>
      <c r="L10" s="82"/>
      <c r="M10" s="2"/>
      <c r="N10" s="2"/>
      <c r="O10" s="2"/>
    </row>
    <row r="11" spans="1:15" ht="18.75" customHeight="1">
      <c r="A11" s="97" t="s">
        <v>153</v>
      </c>
      <c r="B11" s="240">
        <f>SUM(B5:B10)</f>
        <v>0</v>
      </c>
      <c r="C11" s="98" t="e">
        <f>B11/B21</f>
        <v>#DIV/0!</v>
      </c>
      <c r="D11" s="99"/>
      <c r="E11" s="97" t="s">
        <v>153</v>
      </c>
      <c r="F11" s="240">
        <f>SUM(F5:F10)</f>
        <v>0</v>
      </c>
      <c r="G11" s="98" t="e">
        <f>F11/F21</f>
        <v>#DIV/0!</v>
      </c>
      <c r="H11" s="82"/>
      <c r="I11" s="97" t="s">
        <v>153</v>
      </c>
      <c r="J11" s="241">
        <f>SUM(J5:J10)</f>
        <v>0</v>
      </c>
      <c r="K11" s="98" t="e">
        <f>J11/J21</f>
        <v>#DIV/0!</v>
      </c>
      <c r="L11" s="82"/>
      <c r="M11" s="2"/>
      <c r="N11" s="2"/>
      <c r="O11" s="2"/>
    </row>
    <row r="12" spans="1:15" ht="37.5" customHeight="1">
      <c r="A12" s="100" t="s">
        <v>154</v>
      </c>
      <c r="B12" s="242"/>
      <c r="C12" s="89" t="e">
        <f>B12/B21</f>
        <v>#DIV/0!</v>
      </c>
      <c r="D12" s="90"/>
      <c r="E12" s="100" t="s">
        <v>154</v>
      </c>
      <c r="F12" s="242">
        <f>SUM(F13:F15)</f>
        <v>0</v>
      </c>
      <c r="G12" s="89" t="e">
        <f>F12/F21</f>
        <v>#DIV/0!</v>
      </c>
      <c r="H12" s="82"/>
      <c r="I12" s="100" t="s">
        <v>154</v>
      </c>
      <c r="J12" s="242">
        <f>SUM(J13:J15)</f>
        <v>0</v>
      </c>
      <c r="K12" s="89" t="e">
        <f>J12/J21</f>
        <v>#DIV/0!</v>
      </c>
      <c r="L12" s="82"/>
      <c r="M12" s="2"/>
      <c r="N12" s="2"/>
      <c r="O12" s="2"/>
    </row>
    <row r="13" spans="1:15" ht="18.75" customHeight="1">
      <c r="A13" s="100" t="s">
        <v>62</v>
      </c>
      <c r="B13" s="242">
        <v>0</v>
      </c>
      <c r="C13" s="243" t="e">
        <f>B13/B21</f>
        <v>#DIV/0!</v>
      </c>
      <c r="D13" s="90"/>
      <c r="E13" s="100" t="s">
        <v>62</v>
      </c>
      <c r="F13" s="242">
        <v>0</v>
      </c>
      <c r="G13" s="243" t="e">
        <f>F13/F21</f>
        <v>#DIV/0!</v>
      </c>
      <c r="H13" s="82"/>
      <c r="I13" s="100" t="s">
        <v>62</v>
      </c>
      <c r="J13" s="242">
        <v>0</v>
      </c>
      <c r="K13" s="243" t="e">
        <f>J13/J21</f>
        <v>#DIV/0!</v>
      </c>
      <c r="L13" s="82"/>
      <c r="M13" s="2"/>
      <c r="N13" s="2"/>
      <c r="O13" s="2"/>
    </row>
    <row r="14" spans="1:15" ht="18.75" customHeight="1">
      <c r="A14" s="100" t="s">
        <v>63</v>
      </c>
      <c r="B14" s="242">
        <v>0</v>
      </c>
      <c r="C14" s="243" t="e">
        <f>B14/B21</f>
        <v>#DIV/0!</v>
      </c>
      <c r="D14" s="90"/>
      <c r="E14" s="100" t="s">
        <v>63</v>
      </c>
      <c r="F14" s="242">
        <v>0</v>
      </c>
      <c r="G14" s="243" t="e">
        <f>F14/F21</f>
        <v>#DIV/0!</v>
      </c>
      <c r="H14" s="82"/>
      <c r="I14" s="100" t="s">
        <v>63</v>
      </c>
      <c r="J14" s="242">
        <v>0</v>
      </c>
      <c r="K14" s="243" t="e">
        <f>J14/J21</f>
        <v>#DIV/0!</v>
      </c>
      <c r="L14" s="82"/>
      <c r="M14" s="2"/>
      <c r="N14" s="2"/>
      <c r="O14" s="2"/>
    </row>
    <row r="15" spans="1:15" ht="18.75" customHeight="1">
      <c r="A15" s="100" t="s">
        <v>64</v>
      </c>
      <c r="B15" s="242"/>
      <c r="C15" s="89" t="e">
        <f>B15/B21</f>
        <v>#DIV/0!</v>
      </c>
      <c r="D15" s="90"/>
      <c r="E15" s="100" t="s">
        <v>64</v>
      </c>
      <c r="F15" s="244">
        <v>0</v>
      </c>
      <c r="G15" s="89" t="e">
        <f>F15/F21</f>
        <v>#DIV/0!</v>
      </c>
      <c r="H15" s="82"/>
      <c r="I15" s="100" t="s">
        <v>64</v>
      </c>
      <c r="J15" s="242"/>
      <c r="K15" s="89" t="e">
        <f>J15/J21</f>
        <v>#DIV/0!</v>
      </c>
      <c r="L15" s="82"/>
      <c r="M15" s="2"/>
      <c r="N15" s="2"/>
      <c r="O15" s="2"/>
    </row>
    <row r="16" spans="1:15" ht="18.75" customHeight="1">
      <c r="A16" s="101" t="s">
        <v>155</v>
      </c>
      <c r="B16" s="245">
        <f>SUM(B11:B12)</f>
        <v>0</v>
      </c>
      <c r="C16" s="102" t="e">
        <f>B16/B21</f>
        <v>#DIV/0!</v>
      </c>
      <c r="D16" s="99"/>
      <c r="E16" s="101" t="s">
        <v>155</v>
      </c>
      <c r="F16" s="245">
        <f>SUM(F11:F12)</f>
        <v>0</v>
      </c>
      <c r="G16" s="102" t="e">
        <f>F16/F21</f>
        <v>#DIV/0!</v>
      </c>
      <c r="H16" s="82"/>
      <c r="I16" s="101" t="s">
        <v>155</v>
      </c>
      <c r="J16" s="245">
        <f>SUM(J11:J12)</f>
        <v>0</v>
      </c>
      <c r="K16" s="102" t="e">
        <f>J16/J21</f>
        <v>#DIV/0!</v>
      </c>
      <c r="L16" s="82"/>
      <c r="M16" s="2"/>
      <c r="N16" s="2"/>
      <c r="O16" s="2"/>
    </row>
    <row r="17" spans="1:15" ht="21.75" customHeight="1">
      <c r="A17" s="117" t="s">
        <v>65</v>
      </c>
      <c r="B17" s="242"/>
      <c r="C17" s="103" t="e">
        <f>B17/B21</f>
        <v>#DIV/0!</v>
      </c>
      <c r="D17" s="90"/>
      <c r="E17" s="117" t="s">
        <v>65</v>
      </c>
      <c r="F17" s="242"/>
      <c r="G17" s="103" t="e">
        <f>F17/F21</f>
        <v>#DIV/0!</v>
      </c>
      <c r="H17" s="82"/>
      <c r="I17" s="117" t="s">
        <v>65</v>
      </c>
      <c r="J17" s="242"/>
      <c r="K17" s="103" t="e">
        <f>J17/J21</f>
        <v>#DIV/0!</v>
      </c>
      <c r="L17" s="82"/>
      <c r="M17" s="2"/>
      <c r="N17" s="2"/>
      <c r="O17" s="2"/>
    </row>
    <row r="18" spans="1:15" ht="18.75" customHeight="1">
      <c r="A18" s="117" t="s">
        <v>66</v>
      </c>
      <c r="B18" s="242"/>
      <c r="C18" s="103" t="e">
        <f>B18/B21</f>
        <v>#DIV/0!</v>
      </c>
      <c r="D18" s="99"/>
      <c r="E18" s="117" t="s">
        <v>66</v>
      </c>
      <c r="F18" s="242"/>
      <c r="G18" s="103" t="e">
        <f>F18/F21</f>
        <v>#DIV/0!</v>
      </c>
      <c r="H18" s="82"/>
      <c r="I18" s="117" t="s">
        <v>66</v>
      </c>
      <c r="J18" s="242"/>
      <c r="K18" s="103" t="e">
        <f>J18/J21</f>
        <v>#DIV/0!</v>
      </c>
      <c r="L18" s="82"/>
      <c r="M18" s="2"/>
      <c r="N18" s="2"/>
      <c r="O18" s="2"/>
    </row>
    <row r="19" spans="1:15" ht="18.75" customHeight="1">
      <c r="A19" s="104" t="s">
        <v>156</v>
      </c>
      <c r="B19" s="246">
        <f>SUM(B16:B18)</f>
        <v>0</v>
      </c>
      <c r="C19" s="105" t="e">
        <f>SUM(C16:C18)</f>
        <v>#DIV/0!</v>
      </c>
      <c r="D19" s="82"/>
      <c r="E19" s="104" t="s">
        <v>156</v>
      </c>
      <c r="F19" s="246">
        <f>SUM(F16:F18)</f>
        <v>0</v>
      </c>
      <c r="G19" s="106" t="e">
        <f>SUM(G16:G18)</f>
        <v>#DIV/0!</v>
      </c>
      <c r="H19" s="82"/>
      <c r="I19" s="104" t="s">
        <v>156</v>
      </c>
      <c r="J19" s="246">
        <f>SUM(J16:J18)</f>
        <v>0</v>
      </c>
      <c r="K19" s="106" t="e">
        <f>SUM(K16:K18)</f>
        <v>#DIV/0!</v>
      </c>
      <c r="L19" s="82"/>
      <c r="M19" s="2"/>
      <c r="N19" s="2"/>
      <c r="O19" s="2"/>
    </row>
    <row r="20" spans="1:15" ht="39" customHeight="1">
      <c r="A20" s="117" t="s">
        <v>157</v>
      </c>
      <c r="B20" s="242"/>
      <c r="C20" s="107">
        <v>0.05</v>
      </c>
      <c r="D20" s="82"/>
      <c r="E20" s="117" t="s">
        <v>157</v>
      </c>
      <c r="F20" s="242"/>
      <c r="G20" s="108">
        <v>0.05</v>
      </c>
      <c r="H20" s="82"/>
      <c r="I20" s="117" t="s">
        <v>157</v>
      </c>
      <c r="J20" s="242"/>
      <c r="K20" s="108">
        <v>0.05</v>
      </c>
      <c r="L20" s="82"/>
      <c r="M20" s="2"/>
      <c r="N20" s="2"/>
      <c r="O20" s="2"/>
    </row>
    <row r="21" spans="1:15" ht="15.75" customHeight="1">
      <c r="A21" s="109" t="s">
        <v>158</v>
      </c>
      <c r="B21" s="247">
        <f>B19+B20</f>
        <v>0</v>
      </c>
      <c r="C21" s="110" t="e">
        <f>C19+C20</f>
        <v>#DIV/0!</v>
      </c>
      <c r="D21" s="82"/>
      <c r="E21" s="109" t="s">
        <v>158</v>
      </c>
      <c r="F21" s="248">
        <f>F19+F20</f>
        <v>0</v>
      </c>
      <c r="G21" s="111" t="e">
        <f>G19+G20</f>
        <v>#DIV/0!</v>
      </c>
      <c r="H21" s="82"/>
      <c r="I21" s="109" t="s">
        <v>158</v>
      </c>
      <c r="J21" s="248">
        <f>J19+J20</f>
        <v>0</v>
      </c>
      <c r="K21" s="111" t="e">
        <f>K19+K20</f>
        <v>#DIV/0!</v>
      </c>
      <c r="L21" s="8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90" t="s">
        <v>159</v>
      </c>
      <c r="B25" s="291"/>
      <c r="C25" s="29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83" t="s">
        <v>5</v>
      </c>
      <c r="B26" s="84" t="s">
        <v>6</v>
      </c>
      <c r="C26" s="85" t="s">
        <v>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>
      <c r="A27" s="117" t="s">
        <v>8</v>
      </c>
      <c r="B27" s="242"/>
      <c r="C27" s="89" t="e">
        <f>B27/B42</f>
        <v>#DIV/0!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75" customHeight="1">
      <c r="A28" s="117" t="s">
        <v>9</v>
      </c>
      <c r="B28" s="242"/>
      <c r="C28" s="89" t="e">
        <f>B28/B42</f>
        <v>#DIV/0!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75" customHeight="1">
      <c r="A29" s="117" t="s">
        <v>10</v>
      </c>
      <c r="B29" s="242"/>
      <c r="C29" s="89" t="e">
        <f>B29/B42</f>
        <v>#DIV/0!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>
      <c r="A30" s="117" t="s">
        <v>148</v>
      </c>
      <c r="B30" s="242"/>
      <c r="C30" s="89" t="e">
        <f>B30/B42</f>
        <v>#DIV/0!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>
      <c r="A31" s="91" t="s">
        <v>150</v>
      </c>
      <c r="B31" s="249"/>
      <c r="C31" s="92" t="e">
        <f>B31/B42</f>
        <v>#DIV/0!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>
      <c r="A32" s="117" t="s">
        <v>152</v>
      </c>
      <c r="B32" s="242"/>
      <c r="C32" s="89" t="e">
        <f>B32/B42</f>
        <v>#DIV/0!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>
      <c r="A33" s="97" t="s">
        <v>153</v>
      </c>
      <c r="B33" s="240">
        <f>SUM(B27:B32)</f>
        <v>0</v>
      </c>
      <c r="C33" s="98" t="e">
        <f>B33/B42</f>
        <v>#DIV/0!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>
      <c r="A34" s="100" t="s">
        <v>154</v>
      </c>
      <c r="B34" s="242"/>
      <c r="C34" s="89" t="e">
        <f>B34/B42</f>
        <v>#DIV/0!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>
      <c r="A35" s="100" t="s">
        <v>62</v>
      </c>
      <c r="B35" s="242"/>
      <c r="C35" s="243" t="e">
        <f>B35/B42</f>
        <v>#DIV/0!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>
      <c r="A36" s="100" t="s">
        <v>63</v>
      </c>
      <c r="B36" s="242"/>
      <c r="C36" s="243" t="e">
        <f>B36/B42</f>
        <v>#DIV/0!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>
      <c r="A37" s="100" t="s">
        <v>160</v>
      </c>
      <c r="B37" s="242"/>
      <c r="C37" s="89" t="e">
        <f>B37/B42</f>
        <v>#DIV/0!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>
      <c r="A38" s="100" t="s">
        <v>64</v>
      </c>
      <c r="B38" s="242"/>
      <c r="C38" s="89" t="e">
        <f>B38/B42</f>
        <v>#DIV/0!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>
      <c r="A39" s="101" t="s">
        <v>155</v>
      </c>
      <c r="B39" s="245"/>
      <c r="C39" s="102" t="e">
        <f>B39/B42</f>
        <v>#DIV/0!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>
      <c r="A40" s="117" t="s">
        <v>65</v>
      </c>
      <c r="B40" s="242"/>
      <c r="C40" s="103" t="e">
        <f>B40/B42</f>
        <v>#DIV/0!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>
      <c r="A41" s="117" t="s">
        <v>66</v>
      </c>
      <c r="B41" s="242"/>
      <c r="C41" s="103" t="e">
        <f>B41/B42</f>
        <v>#DIV/0!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>
      <c r="A42" s="109" t="s">
        <v>158</v>
      </c>
      <c r="B42" s="247">
        <f>B33</f>
        <v>0</v>
      </c>
      <c r="C42" s="110" t="e">
        <f>C33</f>
        <v>#DIV/0!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/>
    <row r="244" spans="1:15" ht="15.75" customHeight="1"/>
    <row r="245" spans="1:15" ht="15.75" customHeight="1"/>
    <row r="246" spans="1:15" ht="15.75" customHeight="1"/>
    <row r="247" spans="1:15" ht="15.75" customHeight="1"/>
    <row r="248" spans="1:15" ht="15.75" customHeight="1"/>
    <row r="249" spans="1:15" ht="15.75" customHeight="1"/>
    <row r="250" spans="1:15" ht="15.75" customHeight="1"/>
    <row r="251" spans="1:15" ht="15.75" customHeight="1"/>
    <row r="252" spans="1:15" ht="15.75" customHeight="1"/>
    <row r="253" spans="1:15" ht="15.75" customHeight="1"/>
    <row r="254" spans="1:15" ht="15.75" customHeight="1"/>
    <row r="255" spans="1:15" ht="15.75" customHeight="1"/>
    <row r="256" spans="1:1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5:C25"/>
    <mergeCell ref="A1:G1"/>
    <mergeCell ref="A3:C3"/>
    <mergeCell ref="E3:G3"/>
    <mergeCell ref="I3:K3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DISPENDIO Geral Empresa</vt:lpstr>
      <vt:lpstr>Fluxo de Caixa</vt:lpstr>
      <vt:lpstr>Cronograma Desembolso</vt:lpstr>
      <vt:lpstr>Pagamento RH</vt:lpstr>
      <vt:lpstr>Controle - Remanejamento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Geziel Sena Colares</cp:lastModifiedBy>
  <dcterms:created xsi:type="dcterms:W3CDTF">2026-10-05T23:45:39Z</dcterms:created>
  <dcterms:modified xsi:type="dcterms:W3CDTF">2026-10-06T01:32:00Z</dcterms:modified>
</cp:coreProperties>
</file>