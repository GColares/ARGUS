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ENDIO Geral Empresa" sheetId="1" r:id="rId4"/>
    <sheet state="visible" name="Fluxo de Caixa" sheetId="2" r:id="rId5"/>
    <sheet state="visible" name="Cronograma Desembolso" sheetId="3" r:id="rId6"/>
    <sheet state="visible" name="Pagamento RH" sheetId="4" r:id="rId7"/>
    <sheet state="visible" name="Controle - Remanejamento" sheetId="5" r:id="rId8"/>
  </sheets>
  <definedNames/>
  <calcPr/>
  <extLst>
    <ext uri="GoogleSheetsCustomDataVersion2">
      <go:sheetsCustomData xmlns:go="http://customooxmlschemas.google.com/" r:id="rId9" roundtripDataChecksum="cqojhkB3/dnSvRD9wGA/yzlAmoRxKvKjID7Fy/0cJw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ID#AAACHvcSEtQ
tc={b8438387-c99a-4a31-b5f6-c91b1682fa35}    (2026-09-29 14:29:19)
[Threaded comment]
 Your version of Excel allows you to read this threaded comment; however, any edits to it will get removed if the file is opened in a newer version of Excel. Learn more: https://go.microsoft.com/fwlink/?linkid=870924
Comment:
	Pagamento de bolsa p/ alunos e internet</t>
      </text>
    </comment>
    <comment authorId="0" ref="A6">
      <text>
        <t xml:space="preserve">======
ID#AAACHvcYO8o
Diretoria Administrativa e Financeira do Polo CTHM    (2026-09-29 14:30:21)
Sempre colocar a data da última atualização</t>
      </text>
    </comment>
  </commentList>
  <extLst>
    <ext uri="GoogleSheetsCustomDataVersion2">
      <go:sheetsCustomData xmlns:go="http://customooxmlschemas.google.com/" r:id="rId1" roundtripDataSignature="AMtx7miPZulsasA2hQLDgPHShRVBDi80Q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2">
      <text>
        <t xml:space="preserve">======
ID#AAACHvcYO8Y
tc={58ac5096-2b01-4eac-8ae0-f9eb9461f83b}    (2026-09-29 14:29:19)
[Threaded comment]
 Your version of Excel allows you to read this threaded comment; however, any edits to it will get removed if the file is opened in a newer version of Excel. Learn more: https://go.microsoft.com/fwlink/?linkid=870924
Comment:
	Termo aditivo - último pagamento</t>
      </text>
    </comment>
  </commentList>
  <extLst>
    <ext uri="GoogleSheetsCustomDataVersion2">
      <go:sheetsCustomData xmlns:go="http://customooxmlschemas.google.com/" r:id="rId1" roundtripDataSignature="AMtx7mirAza3UPO2E1uYAL72LARLT6a41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======
ID#AAACHvcSEtc
tc={bee5d87f-31a1-47b5-ae54-231e705c5f61}    (2026-09-29 14:29:19)
[Threaded comment]
 Your version of Excel allows you to read this threaded comment; however, any edits to it will get removed if the file is opened in a newer version of Excel. Learn more: https://go.microsoft.com/fwlink/?linkid=870924
Comment:
	Recebeu do Mat. de Consumo R$ 20.000,00 e Outros R$ 9.400,00</t>
      </text>
    </comment>
    <comment authorId="0" ref="F9">
      <text>
        <t xml:space="preserve">======
ID#AAACHvcSEtY
tc={3f2bfe33-42bc-47c9-808e-812d53462a94}    (2026-09-29 14:29:19)
[Threaded comment]
 Your version of Excel allows you to read this threaded comment; however, any edits to it will get removed if the file is opened in a newer version of Excel. Learn more: https://go.microsoft.com/fwlink/?linkid=870924
Comment:
	Recebeu de Outros R$ 17.035,26</t>
      </text>
    </comment>
  </commentList>
  <extLst>
    <ext uri="GoogleSheetsCustomDataVersion2">
      <go:sheetsCustomData xmlns:go="http://customooxmlschemas.google.com/" r:id="rId1" roundtripDataSignature="AMtx7mhrlkilWXtolEyA73H/RaS+ugQSJQ=="/>
    </ext>
  </extLst>
</comments>
</file>

<file path=xl/sharedStrings.xml><?xml version="1.0" encoding="utf-8"?>
<sst xmlns="http://schemas.openxmlformats.org/spreadsheetml/2006/main" count="446" uniqueCount="188">
  <si>
    <t>PLANEJAMENTO - FLUXO DE CAIXA DO PROJETO - EMPRESA</t>
  </si>
  <si>
    <t>PAGAMENTOS REALIZADOS - EMPRESA</t>
  </si>
  <si>
    <t>PROJETO: NOME DO PROJETO</t>
  </si>
  <si>
    <t>PLANILHA DE DESPÊNDIOS - CONFORME PLANO DE TRABALHO PROPOSTO</t>
  </si>
  <si>
    <t>DESEMBOLSO</t>
  </si>
  <si>
    <t xml:space="preserve">ITEM </t>
  </si>
  <si>
    <t xml:space="preserve">Colaborador </t>
  </si>
  <si>
    <t>Função</t>
  </si>
  <si>
    <t>Parcelas</t>
  </si>
  <si>
    <t>CRONOGRAMA DE DESEMBOLSO - Atual (EMPRESA)</t>
  </si>
  <si>
    <t>Valor da Bolsas</t>
  </si>
  <si>
    <t>Valor Total</t>
  </si>
  <si>
    <t>CH - Mensal</t>
  </si>
  <si>
    <t>EMPRESA: NOME DA EMPRESA</t>
  </si>
  <si>
    <t>CONTROLE - DISPÊNDIOS POR RECURSO</t>
  </si>
  <si>
    <t>Item</t>
  </si>
  <si>
    <t>Total Executado</t>
  </si>
  <si>
    <t>Valores Pagos</t>
  </si>
  <si>
    <t>Meses</t>
  </si>
  <si>
    <t>Saldo</t>
  </si>
  <si>
    <t>% Executado</t>
  </si>
  <si>
    <t>Parcela</t>
  </si>
  <si>
    <t>Previsto/Bruto</t>
  </si>
  <si>
    <t>ORIGINAL - versão atualizada dia XX/XX/2026</t>
  </si>
  <si>
    <t>Realizado/NF</t>
  </si>
  <si>
    <t>NF</t>
  </si>
  <si>
    <t>Data NF</t>
  </si>
  <si>
    <t>Unidade</t>
  </si>
  <si>
    <t>OBS</t>
  </si>
  <si>
    <t>Oficio</t>
  </si>
  <si>
    <t>Ano Base</t>
  </si>
  <si>
    <t>I - Equipamentos e/ou Materiais Permanentes</t>
  </si>
  <si>
    <t>única</t>
  </si>
  <si>
    <t>Parcela 1/22</t>
  </si>
  <si>
    <t>JULHO</t>
  </si>
  <si>
    <t>Parcela 2/22</t>
  </si>
  <si>
    <t>Parcela 3/22</t>
  </si>
  <si>
    <t>PLANO DE TRABALHO CONSOLIDADO
EMPRESA</t>
  </si>
  <si>
    <t>AGOSTO</t>
  </si>
  <si>
    <t>ANO BASE                      2026 (R$)</t>
  </si>
  <si>
    <t>Parcela 4/22</t>
  </si>
  <si>
    <t>Parcela 5/22</t>
  </si>
  <si>
    <t>Parcela 6/22</t>
  </si>
  <si>
    <t>Parcela 7/12</t>
  </si>
  <si>
    <t>Parcela 8/12</t>
  </si>
  <si>
    <t>Parcela 9/12</t>
  </si>
  <si>
    <t>Parcela 10/12</t>
  </si>
  <si>
    <t>Parcela 11/12</t>
  </si>
  <si>
    <t>Parcela 12/12</t>
  </si>
  <si>
    <t>DISPÊNDIOS</t>
  </si>
  <si>
    <t>2026 (%)</t>
  </si>
  <si>
    <t>ANO BASE 2025</t>
  </si>
  <si>
    <t>VALOR (R$)</t>
  </si>
  <si>
    <t>%</t>
  </si>
  <si>
    <t>I - programas de computador, máquinas, equipamentos, aparelhos e instrumentos, seus acessórios, sobressalentes e ferramentas, e serviços de instalação dessas máquinas e equipamentos utilizados na execução do projeto;</t>
  </si>
  <si>
    <t>ANO BASE 2026</t>
  </si>
  <si>
    <t>I - programas de computador, máquinas, equipamentos, aparelhos e instrumentos, seus acessórios, e serviços de instalação dessas máquinas e equipamentos utilizados na execução do projeto;</t>
  </si>
  <si>
    <t>RH - DIRETO</t>
  </si>
  <si>
    <t>II - aquisição, implantação, ampliação ou modernização de infraestrutura física e de laboratórios de pesquisa, desenvolvimento e inovação e de ICTs;</t>
  </si>
  <si>
    <t>III - RH direto</t>
  </si>
  <si>
    <t>IV - RH indireto</t>
  </si>
  <si>
    <t>Servidor</t>
  </si>
  <si>
    <t>V - Serviços Técnicos de Terceiros;</t>
  </si>
  <si>
    <t>VI - Mat. Consumo</t>
  </si>
  <si>
    <t>Total Dispêndios (I a VI)</t>
  </si>
  <si>
    <t>Televisor 75 Pol.</t>
  </si>
  <si>
    <t>VII - Outros dispêndios correlatos às atividades de pesquisa, desenvolvimento e inovação.</t>
  </si>
  <si>
    <t>Monitor, teclado e mouse</t>
  </si>
  <si>
    <t xml:space="preserve">Publicações e Treinamentos   </t>
  </si>
  <si>
    <t>Nome da pessoa</t>
  </si>
  <si>
    <t xml:space="preserve">IV - RH indireto </t>
  </si>
  <si>
    <t>Coordenador do Projeto</t>
  </si>
  <si>
    <t>Estação de trabalho 1</t>
  </si>
  <si>
    <t>Estação de trabalho: Memória gamer</t>
  </si>
  <si>
    <t xml:space="preserve">Viagens e diárias </t>
  </si>
  <si>
    <t>Memória RAM</t>
  </si>
  <si>
    <t>ISS</t>
  </si>
  <si>
    <t>Macbook PRO M4</t>
  </si>
  <si>
    <t>II- Implantação, ampliação ou modernização</t>
  </si>
  <si>
    <t>Outros(Aluguel, Internet, Telefonia, Impostos Etc)</t>
  </si>
  <si>
    <t>Total Dispêndios (I a VII)</t>
  </si>
  <si>
    <t>VI - Materiais de Consumo</t>
  </si>
  <si>
    <t>-</t>
  </si>
  <si>
    <t>DOA (Despesas operacionais e Administrativas)</t>
  </si>
  <si>
    <t>Constituição de Reserva</t>
  </si>
  <si>
    <t>Gestor do Projeto</t>
  </si>
  <si>
    <t>Pesquisador Mestre-Tech Lead</t>
  </si>
  <si>
    <t>Pesquisador-Desenvolvedor Backend Sênior</t>
  </si>
  <si>
    <t>Pesquisador Especialista-Engenheiro de ML Sênior</t>
  </si>
  <si>
    <t>Pesquisador Especialista-Engenheiro de ML Pleno</t>
  </si>
  <si>
    <t>Pesquisador-Engenheiro DevOps</t>
  </si>
  <si>
    <t>Colaborador Externo - Graduado</t>
  </si>
  <si>
    <t>TOTAL</t>
  </si>
  <si>
    <t>Colaborador Externo - Especialista</t>
  </si>
  <si>
    <t>Colaborador Externo – Doutor-Pesquisador IA</t>
  </si>
  <si>
    <t>Colaborador Externo-Desenvolvedor Técnico Front End Pleno</t>
  </si>
  <si>
    <t>Aluno de Graduação-Frontend</t>
  </si>
  <si>
    <t>1 CX</t>
  </si>
  <si>
    <t>Cabo de rede</t>
  </si>
  <si>
    <t>Mesa, tampo e cadeira</t>
  </si>
  <si>
    <t>Switch</t>
  </si>
  <si>
    <t>Aluno de Graduação- Backend</t>
  </si>
  <si>
    <t>Nobreak</t>
  </si>
  <si>
    <t>Rack servidor</t>
  </si>
  <si>
    <t>Split 24000</t>
  </si>
  <si>
    <t>Aluno de Graduação- Dados</t>
  </si>
  <si>
    <t>Split 12000</t>
  </si>
  <si>
    <t xml:space="preserve">Serviço de mão de obra para infraestrutur a de rede </t>
  </si>
  <si>
    <t>Aluno de Graduação- QA/Teste</t>
  </si>
  <si>
    <t>Treinamentos;</t>
  </si>
  <si>
    <t>Serviço de Instalação de piso elevado</t>
  </si>
  <si>
    <t>Instalação/Desinstalação Ar-condicionado 12.000 Btus</t>
  </si>
  <si>
    <t>Instalação/Desinstalação Ar-condicionado 24.000 Btus</t>
  </si>
  <si>
    <t>Aquisição de Material elétrico</t>
  </si>
  <si>
    <t>Viagens;</t>
  </si>
  <si>
    <t>Adesivação do ambiente, implementaç ão do controle de acesso, reforma</t>
  </si>
  <si>
    <t>Outros (Aluguel, Internet, Telefonia, Impostos, etc.);</t>
  </si>
  <si>
    <t>Licença cloud code</t>
  </si>
  <si>
    <t>RH - INDIRETO</t>
  </si>
  <si>
    <t>VII -  Outros Correlatos (rateio de Aluguel, Internet, Telefonia)</t>
  </si>
  <si>
    <t>Priscilla Correia Carvalho</t>
  </si>
  <si>
    <t>VII - Total DOAS e Fundo de Reserva</t>
  </si>
  <si>
    <t>Analista PD&amp;I</t>
  </si>
  <si>
    <t xml:space="preserve">    Treinamentos   </t>
  </si>
  <si>
    <t xml:space="preserve">    Viagens</t>
  </si>
  <si>
    <t xml:space="preserve">   Outros(Aluguel, Internet, Telefonia, Impostos Etc)</t>
  </si>
  <si>
    <t xml:space="preserve">    DOA (Despesas operacionais e Administrativas)</t>
  </si>
  <si>
    <t>Alan Bruno Pinto de Oliveira</t>
  </si>
  <si>
    <t>Analista Administrativo</t>
  </si>
  <si>
    <t xml:space="preserve">    Constituição de Reserva</t>
  </si>
  <si>
    <t>Total</t>
  </si>
  <si>
    <t>R$ 87.300,00</t>
  </si>
  <si>
    <t>DESEMBOLSO - EMBRAPII</t>
  </si>
  <si>
    <t>CRONOGRAMA DE DESEMBOLSO - Atual (EMBRAPII)</t>
  </si>
  <si>
    <t>Realizado/Bruto</t>
  </si>
  <si>
    <t>Rendimento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</si>
  <si>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</si>
  <si>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</si>
  <si>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</si>
  <si>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</si>
  <si>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</si>
  <si>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</si>
  <si>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</si>
  <si>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</si>
  <si>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</si>
  <si>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</si>
  <si>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</si>
  <si>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</si>
  <si>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DESEMBOLSO - EMPRESA</t>
  </si>
  <si>
    <t>Valor Líquido</t>
  </si>
  <si>
    <t>NFS-e</t>
  </si>
  <si>
    <t>Data Pagto</t>
  </si>
  <si>
    <t>01//12</t>
  </si>
  <si>
    <t>02//12</t>
  </si>
  <si>
    <t>03//12</t>
  </si>
  <si>
    <t>04//12</t>
  </si>
  <si>
    <t>05//12</t>
  </si>
  <si>
    <t>06//12</t>
  </si>
  <si>
    <t>07//12</t>
  </si>
  <si>
    <t>08//12</t>
  </si>
  <si>
    <t>09//12</t>
  </si>
  <si>
    <t>10//12</t>
  </si>
  <si>
    <t>11//12</t>
  </si>
  <si>
    <t>PREVISTO - ERRATA OFÍCIO 07/2026</t>
  </si>
  <si>
    <t>CONTROLE - DISPÊNDIOS</t>
  </si>
  <si>
    <t>ORIGINAL NANSEN</t>
  </si>
  <si>
    <t xml:space="preserve">1º REMANEJAMENTO - Ofício 016-2026 - 22/04/26 </t>
  </si>
  <si>
    <t xml:space="preserve">2º REMANEJAMENTO - OFICIO Nº 024/2026 - 10/07/26 </t>
  </si>
  <si>
    <t>II - Obras civis (aquisição, implantação, ampliação ou modernização de infraestrutura física e de laboratórios)</t>
  </si>
  <si>
    <t>III - RH diretos projeto</t>
  </si>
  <si>
    <t xml:space="preserve">III - RH indireto </t>
  </si>
  <si>
    <t>III - RH indireto do projeto</t>
  </si>
  <si>
    <t>IV - Serviços Técnicos de Terceiros;</t>
  </si>
  <si>
    <t>V - Materiais de Consumo</t>
  </si>
  <si>
    <t>V - Mat. Consumo</t>
  </si>
  <si>
    <t>Total Dispêndios (I a V)</t>
  </si>
  <si>
    <t>VI - Outros dispêndios correlatos às atividades de pesquisa, desenvolvimento e inovação.</t>
  </si>
  <si>
    <r>
      <rPr>
        <rFont val="Calibri"/>
        <b/>
        <i/>
        <color theme="1"/>
        <sz val="14.0"/>
      </rPr>
      <t xml:space="preserve">Total Dispêndios (I a VI) </t>
    </r>
    <r>
      <rPr>
        <rFont val="Calibri"/>
        <b/>
        <i/>
        <color rgb="FFFF0000"/>
        <sz val="14.0"/>
      </rPr>
      <t>sem ISS</t>
    </r>
  </si>
  <si>
    <r>
      <rPr>
        <rFont val="Calibri"/>
        <b/>
        <i/>
        <color theme="1"/>
        <sz val="14.0"/>
      </rPr>
      <t xml:space="preserve">Total Dispêndios (I a VI) </t>
    </r>
    <r>
      <rPr>
        <rFont val="Calibri"/>
        <b/>
        <i/>
        <color rgb="FFFF0000"/>
        <sz val="14.0"/>
      </rPr>
      <t>sem ISS</t>
    </r>
  </si>
  <si>
    <r>
      <rPr>
        <rFont val="Calibri"/>
        <b/>
        <i/>
        <color theme="1"/>
        <sz val="14.0"/>
      </rPr>
      <t xml:space="preserve">Total Dispêndios (I a VI) </t>
    </r>
    <r>
      <rPr>
        <rFont val="Calibri"/>
        <b/>
        <i/>
        <color rgb="FFFF0000"/>
        <sz val="14.0"/>
      </rPr>
      <t>sem ISS</t>
    </r>
  </si>
  <si>
    <t>TOTAL sem ISS</t>
  </si>
  <si>
    <r>
      <rPr>
        <rFont val="Calibri"/>
        <b/>
        <color theme="1"/>
        <sz val="14.0"/>
      </rPr>
      <t xml:space="preserve">TRIBUTAÇÃO ISS </t>
    </r>
    <r>
      <rPr>
        <rFont val="Calibri"/>
        <color theme="1"/>
        <sz val="14.0"/>
      </rPr>
      <t>(Despesa a ser alocada na rubrica VI - Outros Dispêndios)</t>
    </r>
  </si>
  <si>
    <r>
      <rPr>
        <rFont val="Calibri"/>
        <b/>
        <color theme="1"/>
        <sz val="14.0"/>
      </rPr>
      <t xml:space="preserve">TRIBUTAÇÃO ISS </t>
    </r>
    <r>
      <rPr>
        <rFont val="Calibri"/>
        <color theme="1"/>
        <sz val="14.0"/>
      </rPr>
      <t>(Despesa a ser alocada na rubrica VI - Outros Dispêndios)</t>
    </r>
  </si>
  <si>
    <r>
      <rPr>
        <rFont val="Calibri"/>
        <b/>
        <color theme="1"/>
        <sz val="14.0"/>
      </rPr>
      <t xml:space="preserve">TRIBUTAÇÃO ISS </t>
    </r>
    <r>
      <rPr>
        <rFont val="Calibri"/>
        <color theme="1"/>
        <sz val="14.0"/>
      </rPr>
      <t>(Despesa a ser alocada na rubrica VI - Outros Dispêndios)</t>
    </r>
  </si>
  <si>
    <t>TOTAL FINAL DO PROJETO</t>
  </si>
  <si>
    <t>ORIGINAL EMBRAPII</t>
  </si>
  <si>
    <t xml:space="preserve">    ISS</t>
  </si>
  <si>
    <r>
      <rPr>
        <rFont val="Calibri"/>
        <b/>
        <i/>
        <color theme="1"/>
        <sz val="14.0"/>
      </rPr>
      <t xml:space="preserve">Total Dispêndios (I a VI) </t>
    </r>
    <r>
      <rPr>
        <rFont val="Calibri"/>
        <b/>
        <i/>
        <color rgb="FFFF0000"/>
        <sz val="14.0"/>
      </rPr>
      <t>sem ISS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</si>
</sst>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&quot;R$&quot;\ * #,##0.00_-;\-&quot;R$&quot;\ * #,##0.00_-;_-&quot;R$&quot;\ * &quot;-&quot;??_-;_-@"/>
    <numFmt numFmtId="165" formatCode="[$R$ -416]#,##0.00"/>
    <numFmt numFmtId="166" formatCode="00000"/>
    <numFmt numFmtId="167" formatCode="_-[$R$-416]\ * #,##0.00_-;\-[$R$-416]\ * #,##0.00_-;_-[$R$-416]\ * &quot;-&quot;??_-;_-@"/>
    <numFmt numFmtId="168" formatCode="_-* #,##0.00_-;\-* #,##0.00_-;_-* &quot;-&quot;??_-;_-@"/>
    <numFmt numFmtId="169" formatCode="dd/MM/yyyy"/>
    <numFmt numFmtId="170" formatCode="&quot;R$&quot;\ #,##0.00"/>
    <numFmt numFmtId="171" formatCode="&quot;R$&quot;\ #,##0.00;[Red]\-&quot;R$&quot;\ #,##0.00"/>
  </numFmts>
  <fonts count="5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sz val="10.0"/>
      <color theme="1"/>
      <name val="Arial"/>
    </font>
    <font>
      <b/>
      <sz val="20.0"/>
      <color theme="0"/>
      <name val="Calibri"/>
    </font>
    <font>
      <sz val="11.0"/>
      <color theme="1"/>
      <name val="Arial"/>
    </font>
    <font/>
    <font>
      <b/>
      <sz val="20.0"/>
      <color rgb="FFFFFFFF"/>
      <name val="Arial"/>
    </font>
    <font>
      <b/>
      <sz val="16.0"/>
      <color rgb="FF000000"/>
      <name val="Calibri"/>
    </font>
    <font>
      <b/>
      <sz val="14.0"/>
      <color theme="1"/>
      <name val="Calibri"/>
    </font>
    <font>
      <sz val="16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20.0"/>
      <color rgb="FFFFFFFF"/>
      <name val="Calibri"/>
    </font>
    <font>
      <b/>
      <sz val="11.0"/>
      <color theme="1"/>
      <name val="Arial"/>
    </font>
    <font>
      <b/>
      <sz val="14.0"/>
      <color rgb="FFFFFFFF"/>
      <name val="Calibri"/>
    </font>
    <font>
      <b/>
      <sz val="16.0"/>
      <color rgb="FF20124D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20124D"/>
      <name val="Arial"/>
    </font>
    <font>
      <sz val="11.0"/>
      <color rgb="FF222222"/>
      <name val="Calibri"/>
    </font>
    <font>
      <b/>
      <sz val="14.0"/>
      <color rgb="FF000000"/>
      <name val="Arial"/>
    </font>
    <font>
      <sz val="15.0"/>
      <color rgb="FF000000"/>
      <name val="Calibri"/>
    </font>
    <font>
      <sz val="15.0"/>
      <color theme="1"/>
      <name val="Calibri"/>
    </font>
    <font>
      <sz val="14.0"/>
      <color theme="1"/>
      <name val="Calibri"/>
    </font>
    <font>
      <sz val="14.0"/>
      <color rgb="FF000000"/>
      <name val="Calibri"/>
    </font>
    <font>
      <b/>
      <sz val="12.0"/>
      <color theme="1"/>
      <name val="Calibri"/>
    </font>
    <font>
      <b/>
      <sz val="15.0"/>
      <color rgb="FF000000"/>
      <name val="Calibri"/>
    </font>
    <font>
      <sz val="14.0"/>
      <color theme="1"/>
      <name val="Arial"/>
    </font>
    <font>
      <sz val="14.0"/>
      <color rgb="FF000000"/>
      <name val="Arial"/>
    </font>
    <font>
      <i/>
      <sz val="15.0"/>
      <color rgb="FF000000"/>
      <name val="Calibri"/>
    </font>
    <font>
      <color rgb="FF000000"/>
      <name val="Calibri"/>
    </font>
    <font>
      <b/>
      <sz val="14.0"/>
      <color theme="1"/>
      <name val="Arial"/>
    </font>
    <font>
      <sz val="11.0"/>
      <color rgb="FFFF0000"/>
      <name val="Arial"/>
    </font>
    <font>
      <b/>
      <sz val="15.0"/>
      <color theme="0"/>
      <name val="Calibri"/>
    </font>
    <font>
      <i/>
      <sz val="14.0"/>
      <color theme="1"/>
      <name val="Calibri"/>
    </font>
    <font>
      <b/>
      <sz val="14.0"/>
      <color theme="0"/>
      <name val="Calibri"/>
    </font>
    <font>
      <b/>
      <sz val="11.0"/>
      <color theme="0"/>
      <name val="Calibri"/>
    </font>
    <font>
      <b/>
      <i/>
      <sz val="11.0"/>
      <color theme="1"/>
      <name val="Calibri"/>
    </font>
    <font>
      <sz val="11.0"/>
      <color theme="1"/>
      <name val="Arie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222222"/>
      <name val="Arial"/>
    </font>
    <font>
      <color theme="1"/>
      <name val="Calibri"/>
    </font>
    <font>
      <b/>
      <sz val="12.0"/>
      <color theme="0"/>
      <name val="Arial"/>
    </font>
    <font>
      <sz val="12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FFFFFF"/>
      <name val="Arial"/>
    </font>
    <font>
      <color rgb="FF000000"/>
      <name val="Cambria"/>
    </font>
    <font>
      <b/>
      <color rgb="FF000000"/>
      <name val="Cambria"/>
    </font>
    <font>
      <b/>
      <i/>
      <sz val="14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B4C6E7"/>
        <bgColor rgb="FFB4C6E7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</fills>
  <borders count="7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right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top/>
    </border>
    <border>
      <top/>
    </border>
  </borders>
  <cellStyleXfs count="1">
    <xf borderId="0" fillId="0" fontId="0" numFmtId="0" applyAlignment="1" applyFont="1"/>
  </cellStyleXfs>
  <cellXfs count="4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2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3" fillId="0" fontId="7" numFmtId="0" xfId="0" applyBorder="1" applyFont="1"/>
    <xf borderId="0" fillId="0" fontId="3" numFmtId="0" xfId="0" applyAlignment="1" applyFont="1">
      <alignment horizontal="center"/>
    </xf>
    <xf borderId="4" fillId="3" fontId="8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vertical="center"/>
    </xf>
    <xf borderId="7" fillId="2" fontId="9" numFmtId="0" xfId="0" applyAlignment="1" applyBorder="1" applyFill="1" applyFont="1">
      <alignment horizontal="left" readingOrder="0" vertical="center"/>
    </xf>
    <xf borderId="8" fillId="4" fontId="10" numFmtId="0" xfId="0" applyAlignment="1" applyBorder="1" applyFill="1" applyFon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9" fillId="0" fontId="7" numFmtId="0" xfId="0" applyBorder="1" applyFont="1"/>
    <xf borderId="10" fillId="4" fontId="3" numFmtId="0" xfId="0" applyAlignment="1" applyBorder="1" applyFill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11" fillId="0" fontId="7" numFmtId="0" xfId="0" applyBorder="1" applyFont="1"/>
    <xf borderId="12" fillId="4" fontId="12" numFmtId="0" xfId="0" applyAlignment="1" applyBorder="1" applyFill="1" applyFont="1">
      <alignment horizontal="center" shrinkToFit="0" vertical="center" wrapText="1"/>
    </xf>
    <xf borderId="13" fillId="4" fontId="3" numFmtId="17" xfId="0" applyAlignment="1" applyBorder="1" applyFill="1" applyFont="1" applyNumberFormat="1">
      <alignment horizontal="center" vertical="center"/>
    </xf>
    <xf borderId="2" fillId="2" fontId="9" numFmtId="0" xfId="0" applyAlignment="1" applyBorder="1" applyFill="1" applyFont="1">
      <alignment horizontal="left" readingOrder="0" vertical="center"/>
    </xf>
    <xf borderId="14" fillId="0" fontId="7" numFmtId="0" xfId="0" applyBorder="1" applyFont="1"/>
    <xf borderId="10" fillId="4" fontId="3" numFmtId="17" xfId="0" applyAlignment="1" applyBorder="1" applyFill="1" applyFont="1" applyNumberFormat="1">
      <alignment horizontal="center" vertical="center"/>
    </xf>
    <xf borderId="15" fillId="5" fontId="13" numFmtId="0" xfId="0" applyAlignment="1" applyBorder="1" applyFill="1" applyFont="1">
      <alignment horizontal="center" vertical="center"/>
    </xf>
    <xf borderId="0" fillId="0" fontId="1" numFmtId="165" xfId="0" applyFont="1" applyNumberFormat="1"/>
    <xf borderId="16" fillId="5" fontId="13" numFmtId="0" xfId="0" applyAlignment="1" applyBorder="1" applyFill="1" applyFont="1">
      <alignment horizontal="center" vertical="center"/>
    </xf>
    <xf borderId="13" fillId="4" fontId="3" numFmtId="0" xfId="0" applyAlignment="1" applyBorder="1" applyFill="1" applyFont="1">
      <alignment horizontal="center" vertical="center"/>
    </xf>
    <xf borderId="17" fillId="4" fontId="12" numFmtId="0" xfId="0" applyAlignment="1" applyBorder="1" applyFill="1" applyFont="1">
      <alignment horizontal="center" shrinkToFit="0" vertical="center" wrapText="1"/>
    </xf>
    <xf borderId="18" fillId="5" fontId="13" numFmtId="0" xfId="0" applyAlignment="1" applyBorder="1" applyFill="1" applyFont="1">
      <alignment horizontal="center" shrinkToFit="0" vertical="center" wrapText="1"/>
    </xf>
    <xf borderId="8" fillId="3" fontId="14" numFmtId="0" xfId="0" applyAlignment="1" applyBorder="1" applyFill="1" applyFont="1">
      <alignment horizontal="center" vertical="center"/>
    </xf>
    <xf borderId="19" fillId="5" fontId="13" numFmtId="0" xfId="0" applyAlignment="1" applyBorder="1" applyFill="1" applyFont="1">
      <alignment horizontal="center" shrinkToFit="0" vertical="center" wrapText="1"/>
    </xf>
    <xf borderId="10" fillId="4" fontId="12" numFmtId="0" xfId="0" applyAlignment="1" applyBorder="1" applyFill="1" applyFont="1">
      <alignment horizontal="center" vertical="center"/>
    </xf>
    <xf borderId="0" fillId="0" fontId="15" numFmtId="0" xfId="0" applyAlignment="1" applyFont="1">
      <alignment vertical="center"/>
    </xf>
    <xf borderId="1" fillId="6" fontId="16" numFmtId="0" xfId="0" applyAlignment="1" applyBorder="1" applyFill="1" applyFont="1">
      <alignment horizontal="center" vertical="center"/>
    </xf>
    <xf borderId="13" fillId="4" fontId="12" numFmtId="0" xfId="0" applyAlignment="1" applyBorder="1" applyFill="1" applyFont="1">
      <alignment horizontal="center" vertical="center"/>
    </xf>
    <xf borderId="20" fillId="0" fontId="7" numFmtId="0" xfId="0" applyBorder="1" applyFont="1"/>
    <xf borderId="21" fillId="7" fontId="17" numFmtId="0" xfId="0" applyAlignment="1" applyBorder="1" applyFill="1" applyFont="1">
      <alignment horizontal="center" readingOrder="0" vertical="center"/>
    </xf>
    <xf borderId="17" fillId="4" fontId="12" numFmtId="0" xfId="0" applyAlignment="1" applyBorder="1" applyFill="1" applyFont="1">
      <alignment horizontal="center" vertical="center"/>
    </xf>
    <xf borderId="22" fillId="0" fontId="7" numFmtId="0" xfId="0" applyBorder="1" applyFont="1"/>
    <xf borderId="23" fillId="0" fontId="7" numFmtId="0" xfId="0" applyBorder="1" applyFont="1"/>
    <xf borderId="24" fillId="8" fontId="18" numFmtId="0" xfId="0" applyAlignment="1" applyBorder="1" applyFill="1" applyFont="1">
      <alignment horizontal="center" shrinkToFit="0" vertical="center" wrapText="1"/>
    </xf>
    <xf borderId="13" fillId="8" fontId="19" numFmtId="17" xfId="0" applyAlignment="1" applyBorder="1" applyFill="1" applyFont="1" applyNumberFormat="1">
      <alignment horizontal="center" vertical="center"/>
    </xf>
    <xf borderId="13" fillId="8" fontId="19" numFmtId="166" xfId="0" applyAlignment="1" applyBorder="1" applyFill="1" applyFont="1" applyNumberFormat="1">
      <alignment horizontal="center" vertical="center"/>
    </xf>
    <xf borderId="25" fillId="0" fontId="7" numFmtId="0" xfId="0" applyBorder="1" applyFont="1"/>
    <xf borderId="26" fillId="0" fontId="7" numFmtId="0" xfId="0" applyBorder="1" applyFont="1"/>
    <xf borderId="0" fillId="0" fontId="20" numFmtId="0" xfId="0" applyAlignment="1" applyFont="1">
      <alignment vertical="center"/>
    </xf>
    <xf borderId="27" fillId="4" fontId="10" numFmtId="0" xfId="0" applyAlignment="1" applyBorder="1" applyFill="1" applyFont="1">
      <alignment horizontal="center" readingOrder="0" vertical="center"/>
    </xf>
    <xf borderId="28" fillId="8" fontId="3" numFmtId="164" xfId="0" applyAlignment="1" applyBorder="1" applyFill="1" applyFont="1" applyNumberFormat="1">
      <alignment horizontal="center" vertical="center"/>
    </xf>
    <xf borderId="29" fillId="4" fontId="3" numFmtId="0" xfId="0" applyAlignment="1" applyBorder="1" applyFill="1" applyFont="1">
      <alignment horizontal="center" vertical="center"/>
    </xf>
    <xf borderId="13" fillId="9" fontId="3" numFmtId="167" xfId="0" applyAlignment="1" applyBorder="1" applyFill="1" applyFont="1" applyNumberFormat="1">
      <alignment horizontal="center" vertical="center"/>
    </xf>
    <xf borderId="21" fillId="10" fontId="9" numFmtId="0" xfId="0" applyAlignment="1" applyBorder="1" applyFill="1" applyFont="1">
      <alignment horizontal="center" shrinkToFit="0" vertical="center" wrapText="1"/>
    </xf>
    <xf borderId="23" fillId="4" fontId="3" numFmtId="0" xfId="0" applyAlignment="1" applyBorder="1" applyFill="1" applyFont="1">
      <alignment horizontal="center" vertical="center"/>
    </xf>
    <xf borderId="27" fillId="4" fontId="10" numFmtId="0" xfId="0" applyAlignment="1" applyBorder="1" applyFill="1" applyFont="1">
      <alignment horizontal="center" readingOrder="0" shrinkToFit="0" vertical="center" wrapText="1"/>
    </xf>
    <xf borderId="10" fillId="8" fontId="21" numFmtId="0" xfId="0" applyAlignment="1" applyBorder="1" applyFill="1" applyFont="1">
      <alignment horizontal="center" vertical="center"/>
    </xf>
    <xf borderId="13" fillId="11" fontId="22" numFmtId="0" xfId="0" applyAlignment="1" applyBorder="1" applyFill="1" applyFont="1">
      <alignment horizontal="center" shrinkToFit="0" vertical="center" wrapText="1"/>
    </xf>
    <xf borderId="30" fillId="8" fontId="19" numFmtId="14" xfId="0" applyAlignment="1" applyBorder="1" applyFill="1" applyFont="1" applyNumberFormat="1">
      <alignment horizontal="center" vertical="center"/>
    </xf>
    <xf borderId="21" fillId="12" fontId="3" numFmtId="0" xfId="0" applyAlignment="1" applyBorder="1" applyFill="1" applyFont="1">
      <alignment horizontal="center" vertical="center"/>
    </xf>
    <xf borderId="31" fillId="4" fontId="10" numFmtId="0" xfId="0" applyAlignment="1" applyBorder="1" applyFill="1" applyFont="1">
      <alignment horizontal="center" readingOrder="0" shrinkToFit="0" vertical="center" wrapText="1"/>
    </xf>
    <xf borderId="21" fillId="13" fontId="3" numFmtId="0" xfId="0" applyAlignment="1" applyBorder="1" applyFill="1" applyFont="1">
      <alignment horizontal="center" vertical="center"/>
    </xf>
    <xf borderId="22" fillId="13" fontId="3" numFmtId="0" xfId="0" applyAlignment="1" applyBorder="1" applyFill="1" applyFont="1">
      <alignment horizontal="center" vertical="center"/>
    </xf>
    <xf borderId="30" fillId="8" fontId="19" numFmtId="0" xfId="0" applyAlignment="1" applyBorder="1" applyFill="1" applyFont="1">
      <alignment horizontal="center" vertical="center"/>
    </xf>
    <xf borderId="13" fillId="0" fontId="23" numFmtId="0" xfId="0" applyAlignment="1" applyBorder="1" applyFont="1">
      <alignment horizontal="left" shrinkToFit="0" vertical="center" wrapText="1"/>
    </xf>
    <xf borderId="13" fillId="0" fontId="24" numFmtId="165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shrinkToFit="0" vertical="center" wrapText="1"/>
    </xf>
    <xf borderId="23" fillId="13" fontId="3" numFmtId="0" xfId="0" applyAlignment="1" applyBorder="1" applyFill="1" applyFont="1">
      <alignment horizontal="center" vertical="center"/>
    </xf>
    <xf borderId="13" fillId="0" fontId="24" numFmtId="10" xfId="0" applyAlignment="1" applyBorder="1" applyFont="1" applyNumberFormat="1">
      <alignment horizontal="center" shrinkToFit="0" vertical="center" wrapText="1"/>
    </xf>
    <xf borderId="32" fillId="8" fontId="19" numFmtId="0" xfId="0" applyAlignment="1" applyBorder="1" applyFill="1" applyFont="1">
      <alignment horizontal="center" vertical="center"/>
    </xf>
    <xf borderId="0" fillId="0" fontId="6" numFmtId="164" xfId="0" applyAlignment="1" applyFont="1" applyNumberFormat="1">
      <alignment vertical="center"/>
    </xf>
    <xf borderId="0" fillId="0" fontId="6" numFmtId="10" xfId="0" applyAlignment="1" applyFont="1" applyNumberFormat="1">
      <alignment vertical="center"/>
    </xf>
    <xf borderId="13" fillId="0" fontId="25" numFmtId="0" xfId="0" applyAlignment="1" applyBorder="1" applyFont="1">
      <alignment shrinkToFit="0" vertical="center" wrapText="1"/>
    </xf>
    <xf borderId="15" fillId="8" fontId="26" numFmtId="0" xfId="0" applyAlignment="1" applyBorder="1" applyFill="1" applyFont="1">
      <alignment horizontal="center" vertical="center"/>
    </xf>
    <xf borderId="21" fillId="5" fontId="27" numFmtId="0" xfId="0" applyAlignment="1" applyBorder="1" applyFill="1" applyFont="1">
      <alignment horizontal="center"/>
    </xf>
    <xf borderId="33" fillId="14" fontId="28" numFmtId="0" xfId="0" applyAlignment="1" applyBorder="1" applyFill="1" applyFont="1">
      <alignment horizontal="center" readingOrder="0" vertical="center"/>
    </xf>
    <xf borderId="13" fillId="2" fontId="25" numFmtId="164" xfId="0" applyAlignment="1" applyBorder="1" applyFill="1" applyFont="1" applyNumberFormat="1">
      <alignment horizontal="center" vertical="center"/>
    </xf>
    <xf borderId="13" fillId="0" fontId="23" numFmtId="10" xfId="0" applyAlignment="1" applyBorder="1" applyFont="1" applyNumberFormat="1">
      <alignment horizontal="center" shrinkToFit="0" vertical="center" wrapText="1"/>
    </xf>
    <xf borderId="25" fillId="5" fontId="3" numFmtId="14" xfId="0" applyAlignment="1" applyBorder="1" applyFill="1" applyFont="1" applyNumberFormat="1">
      <alignment horizontal="center" vertical="center"/>
    </xf>
    <xf borderId="13" fillId="0" fontId="25" numFmtId="10" xfId="0" applyAlignment="1" applyBorder="1" applyFont="1" applyNumberFormat="1">
      <alignment horizontal="center" vertical="center"/>
    </xf>
    <xf borderId="25" fillId="5" fontId="3" numFmtId="0" xfId="0" applyAlignment="1" applyBorder="1" applyFill="1" applyFont="1">
      <alignment horizontal="center" vertical="center"/>
    </xf>
    <xf borderId="13" fillId="0" fontId="25" numFmtId="165" xfId="0" applyAlignment="1" applyBorder="1" applyFont="1" applyNumberFormat="1">
      <alignment vertical="center"/>
    </xf>
    <xf borderId="0" fillId="9" fontId="1" numFmtId="167" xfId="0" applyFill="1" applyFont="1" applyNumberFormat="1"/>
    <xf borderId="0" fillId="0" fontId="29" numFmtId="168" xfId="0" applyAlignment="1" applyFont="1" applyNumberFormat="1">
      <alignment horizontal="center" shrinkToFit="0" vertical="center" wrapText="1"/>
    </xf>
    <xf borderId="34" fillId="5" fontId="3" numFmtId="0" xfId="0" applyAlignment="1" applyBorder="1" applyFill="1" applyFont="1">
      <alignment horizontal="center" vertical="center"/>
    </xf>
    <xf borderId="23" fillId="0" fontId="25" numFmtId="165" xfId="0" applyAlignment="1" applyBorder="1" applyFont="1" applyNumberFormat="1">
      <alignment vertical="center"/>
    </xf>
    <xf borderId="0" fillId="0" fontId="18" numFmtId="0" xfId="0" applyAlignment="1" applyFont="1">
      <alignment horizontal="center" shrinkToFit="0" vertical="center" wrapText="1"/>
    </xf>
    <xf borderId="13" fillId="5" fontId="3" numFmtId="0" xfId="0" applyAlignment="1" applyBorder="1" applyFill="1" applyFont="1">
      <alignment horizontal="center" vertical="center"/>
    </xf>
    <xf borderId="13" fillId="0" fontId="19" numFmtId="17" xfId="0" applyAlignment="1" applyBorder="1" applyFont="1" applyNumberFormat="1">
      <alignment horizontal="center" vertical="center"/>
    </xf>
    <xf borderId="35" fillId="5" fontId="3" numFmtId="0" xfId="0" applyAlignment="1" applyBorder="1" applyFill="1" applyFont="1">
      <alignment horizontal="center" vertical="center"/>
    </xf>
    <xf borderId="13" fillId="0" fontId="19" numFmtId="166" xfId="0" applyAlignment="1" applyBorder="1" applyFont="1" applyNumberFormat="1">
      <alignment horizontal="center" vertical="center"/>
    </xf>
    <xf borderId="0" fillId="0" fontId="30" numFmtId="168" xfId="0" applyAlignment="1" applyFont="1" applyNumberFormat="1">
      <alignment horizontal="center" shrinkToFit="0" vertical="center" wrapText="1"/>
    </xf>
    <xf borderId="23" fillId="2" fontId="19" numFmtId="164" xfId="0" applyAlignment="1" applyBorder="1" applyFill="1" applyFont="1" applyNumberFormat="1">
      <alignment horizontal="center" vertical="center"/>
    </xf>
    <xf borderId="23" fillId="0" fontId="19" numFmtId="164" xfId="0" applyAlignment="1" applyBorder="1" applyFont="1" applyNumberFormat="1">
      <alignment horizontal="center" vertical="center"/>
    </xf>
    <xf borderId="36" fillId="15" fontId="10" numFmtId="164" xfId="0" applyAlignment="1" applyBorder="1" applyFill="1" applyFont="1" applyNumberFormat="1">
      <alignment horizontal="center" vertical="center"/>
    </xf>
    <xf borderId="37" fillId="5" fontId="3" numFmtId="0" xfId="0" applyAlignment="1" applyBorder="1" applyFill="1" applyFont="1">
      <alignment horizontal="center" vertical="center"/>
    </xf>
    <xf borderId="13" fillId="2" fontId="21" numFmtId="0" xfId="0" applyAlignment="1" applyBorder="1" applyFill="1" applyFont="1">
      <alignment horizontal="center" vertical="center"/>
    </xf>
    <xf borderId="38" fillId="15" fontId="10" numFmtId="10" xfId="0" applyAlignment="1" applyBorder="1" applyFill="1" applyFont="1" applyNumberFormat="1">
      <alignment horizontal="center" vertical="center"/>
    </xf>
    <xf borderId="39" fillId="2" fontId="19" numFmtId="169" xfId="0" applyAlignment="1" applyBorder="1" applyFill="1" applyFont="1" applyNumberFormat="1">
      <alignment horizontal="center" vertical="center"/>
    </xf>
    <xf borderId="39" fillId="0" fontId="19" numFmtId="0" xfId="0" applyAlignment="1" applyBorder="1" applyFont="1">
      <alignment horizontal="center" vertical="center"/>
    </xf>
    <xf borderId="1" fillId="6" fontId="10" numFmtId="10" xfId="0" applyAlignment="1" applyBorder="1" applyFill="1" applyFont="1" applyNumberFormat="1">
      <alignment horizontal="center" vertical="center"/>
    </xf>
    <xf borderId="25" fillId="0" fontId="25" numFmtId="0" xfId="0" applyAlignment="1" applyBorder="1" applyFont="1">
      <alignment horizontal="center" vertical="center"/>
    </xf>
    <xf borderId="40" fillId="0" fontId="7" numFmtId="0" xfId="0" applyBorder="1" applyFont="1"/>
    <xf borderId="0" fillId="0" fontId="29" numFmtId="0" xfId="0" applyAlignment="1" applyFont="1">
      <alignment vertical="center"/>
    </xf>
    <xf borderId="13" fillId="0" fontId="23" numFmtId="0" xfId="0" applyAlignment="1" applyBorder="1" applyFont="1">
      <alignment horizontal="left" readingOrder="0" shrinkToFit="0" vertical="center" wrapText="1"/>
    </xf>
    <xf borderId="37" fillId="5" fontId="1" numFmtId="0" xfId="0" applyBorder="1" applyFill="1" applyFont="1"/>
    <xf borderId="0" fillId="0" fontId="29" numFmtId="4" xfId="0" applyAlignment="1" applyFont="1" applyNumberFormat="1">
      <alignment vertical="center"/>
    </xf>
    <xf borderId="13" fillId="0" fontId="1" numFmtId="3" xfId="0" applyAlignment="1" applyBorder="1" applyFont="1" applyNumberFormat="1">
      <alignment horizontal="center"/>
    </xf>
    <xf borderId="41" fillId="5" fontId="1" numFmtId="0" xfId="0" applyAlignment="1" applyBorder="1" applyFill="1" applyFont="1">
      <alignment horizontal="center"/>
    </xf>
    <xf borderId="13" fillId="2" fontId="19" numFmtId="169" xfId="0" applyAlignment="1" applyBorder="1" applyFill="1" applyFont="1" applyNumberFormat="1">
      <alignment horizontal="center" vertical="center"/>
    </xf>
    <xf borderId="13" fillId="0" fontId="28" numFmtId="0" xfId="0" applyAlignment="1" applyBorder="1" applyFont="1">
      <alignment horizontal="left" readingOrder="0" shrinkToFit="0" vertical="center" wrapText="1"/>
    </xf>
    <xf borderId="13" fillId="2" fontId="19" numFmtId="0" xfId="0" applyAlignment="1" applyBorder="1" applyFill="1" applyFont="1">
      <alignment horizontal="center"/>
    </xf>
    <xf borderId="13" fillId="0" fontId="28" numFmtId="165" xfId="0" applyAlignment="1" applyBorder="1" applyFont="1" applyNumberFormat="1">
      <alignment horizontal="center" shrinkToFit="0" vertical="center" wrapText="1"/>
    </xf>
    <xf borderId="13" fillId="0" fontId="25" numFmtId="0" xfId="0" applyAlignment="1" applyBorder="1" applyFont="1">
      <alignment horizontal="center" vertical="center"/>
    </xf>
    <xf borderId="28" fillId="2" fontId="25" numFmtId="165" xfId="0" applyAlignment="1" applyBorder="1" applyFill="1" applyFont="1" applyNumberFormat="1">
      <alignment horizontal="right" vertical="center"/>
    </xf>
    <xf borderId="13" fillId="0" fontId="28" numFmtId="10" xfId="0" applyAlignment="1" applyBorder="1" applyFont="1" applyNumberFormat="1">
      <alignment horizontal="center" shrinkToFit="0" vertical="center" wrapText="1"/>
    </xf>
    <xf borderId="0" fillId="0" fontId="15" numFmtId="164" xfId="0" applyAlignment="1" applyFont="1" applyNumberFormat="1">
      <alignment vertical="center"/>
    </xf>
    <xf borderId="0" fillId="0" fontId="15" numFmtId="10" xfId="0" applyAlignment="1" applyFont="1" applyNumberFormat="1">
      <alignment vertical="center"/>
    </xf>
    <xf borderId="13" fillId="2" fontId="19" numFmtId="164" xfId="0" applyAlignment="1" applyBorder="1" applyFill="1" applyFont="1" applyNumberFormat="1">
      <alignment horizontal="left" vertical="center"/>
    </xf>
    <xf borderId="13" fillId="0" fontId="31" numFmtId="0" xfId="0" applyAlignment="1" applyBorder="1" applyFont="1">
      <alignment horizontal="left" readingOrder="0" shrinkToFit="0" vertical="center" wrapText="1"/>
    </xf>
    <xf borderId="13" fillId="2" fontId="19" numFmtId="164" xfId="0" applyAlignment="1" applyBorder="1" applyFill="1" applyFont="1" applyNumberFormat="1">
      <alignment horizontal="center" vertical="center"/>
    </xf>
    <xf borderId="13" fillId="0" fontId="25" numFmtId="165" xfId="0" applyAlignment="1" applyBorder="1" applyFont="1" applyNumberFormat="1">
      <alignment horizontal="right" vertical="center"/>
    </xf>
    <xf borderId="13" fillId="2" fontId="21" numFmtId="3" xfId="0" applyAlignment="1" applyBorder="1" applyFill="1" applyFont="1" applyNumberFormat="1">
      <alignment horizontal="center" vertical="center"/>
    </xf>
    <xf borderId="13" fillId="0" fontId="23" numFmtId="165" xfId="0" applyAlignment="1" applyBorder="1" applyFont="1" applyNumberFormat="1">
      <alignment horizontal="center" shrinkToFit="0" vertical="center" wrapText="1"/>
    </xf>
    <xf borderId="13" fillId="0" fontId="19" numFmtId="0" xfId="0" applyAlignment="1" applyBorder="1" applyFont="1">
      <alignment horizontal="center" vertical="center"/>
    </xf>
    <xf borderId="0" fillId="0" fontId="6" numFmtId="168" xfId="0" applyAlignment="1" applyFont="1" applyNumberFormat="1">
      <alignment vertical="center"/>
    </xf>
    <xf borderId="13" fillId="0" fontId="19" numFmtId="0" xfId="0" applyAlignment="1" applyBorder="1" applyFont="1">
      <alignment horizontal="center" shrinkToFit="0" vertical="center" wrapText="1"/>
    </xf>
    <xf borderId="13" fillId="0" fontId="31" numFmtId="0" xfId="0" applyAlignment="1" applyBorder="1" applyFont="1">
      <alignment horizontal="left" shrinkToFit="0" vertical="center" wrapText="1"/>
    </xf>
    <xf borderId="42" fillId="0" fontId="25" numFmtId="0" xfId="0" applyAlignment="1" applyBorder="1" applyFont="1">
      <alignment horizontal="left" shrinkToFit="0" vertical="center" wrapText="1"/>
    </xf>
    <xf borderId="43" fillId="2" fontId="25" numFmtId="165" xfId="0" applyAlignment="1" applyBorder="1" applyFill="1" applyFont="1" applyNumberFormat="1">
      <alignment horizontal="right" vertical="center"/>
    </xf>
    <xf borderId="25" fillId="0" fontId="1" numFmtId="0" xfId="0" applyAlignment="1" applyBorder="1" applyFont="1">
      <alignment horizontal="center" vertical="center"/>
    </xf>
    <xf borderId="10" fillId="2" fontId="19" numFmtId="164" xfId="0" applyAlignment="1" applyBorder="1" applyFill="1" applyFont="1" applyNumberFormat="1">
      <alignment horizontal="center" vertical="center"/>
    </xf>
    <xf borderId="13" fillId="0" fontId="32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shrinkToFit="0" vertical="center" wrapText="1"/>
    </xf>
    <xf borderId="13" fillId="0" fontId="23" numFmtId="9" xfId="0" applyAlignment="1" applyBorder="1" applyFont="1" applyNumberFormat="1">
      <alignment horizontal="center" shrinkToFit="0" vertical="center" wrapText="1"/>
    </xf>
    <xf borderId="42" fillId="0" fontId="25" numFmtId="0" xfId="0" applyAlignment="1" applyBorder="1" applyFont="1">
      <alignment horizontal="left" readingOrder="0" shrinkToFit="0" vertical="center" wrapText="1"/>
    </xf>
    <xf borderId="44" fillId="2" fontId="1" numFmtId="164" xfId="0" applyAlignment="1" applyBorder="1" applyFill="1" applyFont="1" applyNumberFormat="1">
      <alignment horizontal="center" vertical="center"/>
    </xf>
    <xf borderId="23" fillId="8" fontId="19" numFmtId="0" xfId="0" applyAlignment="1" applyBorder="1" applyFill="1" applyFont="1">
      <alignment horizontal="center" shrinkToFit="0" vertical="center" wrapText="1"/>
    </xf>
    <xf borderId="45" fillId="2" fontId="1" numFmtId="164" xfId="0" applyAlignment="1" applyBorder="1" applyFill="1" applyFont="1" applyNumberFormat="1">
      <alignment horizontal="center" vertical="center"/>
    </xf>
    <xf borderId="0" fillId="2" fontId="1" numFmtId="0" xfId="0" applyFill="1" applyFont="1"/>
    <xf borderId="25" fillId="0" fontId="1" numFmtId="0" xfId="0" applyAlignment="1" applyBorder="1" applyFont="1">
      <alignment horizontal="center" shrinkToFit="0" vertical="center" wrapText="1"/>
    </xf>
    <xf borderId="15" fillId="8" fontId="18" numFmtId="0" xfId="0" applyAlignment="1" applyBorder="1" applyFill="1" applyFont="1">
      <alignment horizontal="center" shrinkToFit="0" vertical="center" wrapText="1"/>
    </xf>
    <xf borderId="0" fillId="0" fontId="33" numFmtId="4" xfId="0" applyAlignment="1" applyFont="1" applyNumberFormat="1">
      <alignment vertical="center"/>
    </xf>
    <xf borderId="13" fillId="0" fontId="31" numFmtId="0" xfId="0" applyAlignment="1" applyBorder="1" applyFont="1">
      <alignment shrinkToFit="0" vertical="center" wrapText="1"/>
    </xf>
    <xf borderId="25" fillId="0" fontId="1" numFmtId="165" xfId="0" applyAlignment="1" applyBorder="1" applyFont="1" applyNumberFormat="1">
      <alignment horizontal="center" readingOrder="0" vertical="center"/>
    </xf>
    <xf borderId="46" fillId="6" fontId="25" numFmtId="0" xfId="0" applyAlignment="1" applyBorder="1" applyFill="1" applyFont="1">
      <alignment horizontal="left" readingOrder="0" shrinkToFit="0" vertical="center" wrapText="1"/>
    </xf>
    <xf borderId="23" fillId="8" fontId="19" numFmtId="17" xfId="0" applyAlignment="1" applyBorder="1" applyFill="1" applyFont="1" applyNumberFormat="1">
      <alignment horizontal="center" vertical="center"/>
    </xf>
    <xf borderId="13" fillId="6" fontId="28" numFmtId="165" xfId="0" applyAlignment="1" applyBorder="1" applyFill="1" applyFont="1" applyNumberFormat="1">
      <alignment horizontal="center" shrinkToFit="0" vertical="center" wrapText="1"/>
    </xf>
    <xf borderId="25" fillId="0" fontId="1" numFmtId="167" xfId="0" applyAlignment="1" applyBorder="1" applyFont="1" applyNumberFormat="1">
      <alignment vertical="center"/>
    </xf>
    <xf borderId="13" fillId="2" fontId="24" numFmtId="165" xfId="0" applyAlignment="1" applyBorder="1" applyFill="1" applyFont="1" applyNumberFormat="1">
      <alignment horizontal="center"/>
    </xf>
    <xf borderId="45" fillId="8" fontId="3" numFmtId="164" xfId="0" applyAlignment="1" applyBorder="1" applyFill="1" applyFont="1" applyNumberFormat="1">
      <alignment horizontal="center" vertical="center"/>
    </xf>
    <xf borderId="34" fillId="0" fontId="1" numFmtId="0" xfId="0" applyAlignment="1" applyBorder="1" applyFont="1">
      <alignment horizontal="center" shrinkToFit="0" vertical="center" wrapText="1"/>
    </xf>
    <xf borderId="47" fillId="0" fontId="23" numFmtId="0" xfId="0" applyAlignment="1" applyBorder="1" applyFont="1">
      <alignment horizontal="left" readingOrder="0" shrinkToFit="0" vertical="center" wrapText="1"/>
    </xf>
    <xf borderId="13" fillId="16" fontId="3" numFmtId="167" xfId="0" applyAlignment="1" applyBorder="1" applyFill="1" applyFont="1" applyNumberFormat="1">
      <alignment horizontal="center" vertical="center"/>
    </xf>
    <xf borderId="34" fillId="0" fontId="1" numFmtId="167" xfId="0" applyAlignment="1" applyBorder="1" applyFont="1" applyNumberFormat="1">
      <alignment horizontal="center" vertical="center"/>
    </xf>
    <xf borderId="28" fillId="2" fontId="24" numFmtId="165" xfId="0" applyAlignment="1" applyBorder="1" applyFill="1" applyFont="1" applyNumberFormat="1">
      <alignment horizontal="center"/>
    </xf>
    <xf borderId="13" fillId="17" fontId="10" numFmtId="0" xfId="0" applyAlignment="1" applyBorder="1" applyFill="1" applyFont="1">
      <alignment readingOrder="0" vertical="center"/>
    </xf>
    <xf borderId="13" fillId="8" fontId="21" numFmtId="0" xfId="0" applyAlignment="1" applyBorder="1" applyFill="1" applyFont="1">
      <alignment horizontal="center" vertical="center"/>
    </xf>
    <xf borderId="25" fillId="2" fontId="1" numFmtId="167" xfId="0" applyAlignment="1" applyBorder="1" applyFill="1" applyFont="1" applyNumberFormat="1">
      <alignment horizontal="center" vertical="center"/>
    </xf>
    <xf borderId="44" fillId="2" fontId="1" numFmtId="167" xfId="0" applyAlignment="1" applyBorder="1" applyFill="1" applyFont="1" applyNumberFormat="1">
      <alignment horizontal="center" vertical="center"/>
    </xf>
    <xf borderId="44" fillId="2" fontId="1" numFmtId="167" xfId="0" applyAlignment="1" applyBorder="1" applyFill="1" applyFont="1" applyNumberFormat="1">
      <alignment vertical="center"/>
    </xf>
    <xf borderId="44" fillId="0" fontId="1" numFmtId="167" xfId="0" applyAlignment="1" applyBorder="1" applyFont="1" applyNumberFormat="1">
      <alignment vertical="center"/>
    </xf>
    <xf borderId="44" fillId="2" fontId="34" numFmtId="165" xfId="0" applyAlignment="1" applyBorder="1" applyFill="1" applyFont="1" applyNumberFormat="1">
      <alignment horizontal="center" vertical="center"/>
    </xf>
    <xf borderId="48" fillId="2" fontId="6" numFmtId="165" xfId="0" applyAlignment="1" applyBorder="1" applyFill="1" applyFont="1" applyNumberFormat="1">
      <alignment horizontal="center" vertical="center"/>
    </xf>
    <xf borderId="13" fillId="2" fontId="3" numFmtId="165" xfId="0" applyAlignment="1" applyBorder="1" applyFill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0" fontId="1" numFmtId="165" xfId="0" applyAlignment="1" applyBorder="1" applyFont="1" applyNumberFormat="1">
      <alignment horizontal="center" readingOrder="0" vertical="center"/>
    </xf>
    <xf borderId="13" fillId="0" fontId="1" numFmtId="167" xfId="0" applyAlignment="1" applyBorder="1" applyFont="1" applyNumberFormat="1">
      <alignment vertical="center"/>
    </xf>
    <xf borderId="23" fillId="2" fontId="1" numFmtId="167" xfId="0" applyAlignment="1" applyBorder="1" applyFill="1" applyFont="1" applyNumberFormat="1">
      <alignment vertical="center"/>
    </xf>
    <xf borderId="23" fillId="0" fontId="1" numFmtId="167" xfId="0" applyAlignment="1" applyBorder="1" applyFont="1" applyNumberFormat="1">
      <alignment vertical="center"/>
    </xf>
    <xf borderId="44" fillId="2" fontId="6" numFmtId="165" xfId="0" applyAlignment="1" applyBorder="1" applyFill="1" applyFont="1" applyNumberFormat="1">
      <alignment horizontal="center" vertical="center"/>
    </xf>
    <xf borderId="13" fillId="0" fontId="32" numFmtId="0" xfId="0" applyAlignment="1" applyBorder="1" applyFont="1">
      <alignment horizontal="center"/>
    </xf>
    <xf borderId="21" fillId="0" fontId="1" numFmtId="0" xfId="0" applyAlignment="1" applyBorder="1" applyFont="1">
      <alignment horizontal="center" shrinkToFit="0" vertical="center" wrapText="1"/>
    </xf>
    <xf borderId="13" fillId="0" fontId="32" numFmtId="0" xfId="0" applyAlignment="1" applyBorder="1" applyFont="1">
      <alignment horizontal="center" shrinkToFit="0" wrapText="1"/>
    </xf>
    <xf borderId="13" fillId="2" fontId="1" numFmtId="167" xfId="0" applyAlignment="1" applyBorder="1" applyFill="1" applyFont="1" applyNumberFormat="1">
      <alignment vertical="center"/>
    </xf>
    <xf borderId="25" fillId="2" fontId="6" numFmtId="165" xfId="0" applyAlignment="1" applyBorder="1" applyFill="1" applyFont="1" applyNumberFormat="1">
      <alignment horizontal="center" vertical="center"/>
    </xf>
    <xf borderId="13" fillId="0" fontId="1" numFmtId="165" xfId="0" applyAlignment="1" applyBorder="1" applyFont="1" applyNumberFormat="1">
      <alignment horizontal="center" vertical="center"/>
    </xf>
    <xf borderId="49" fillId="0" fontId="23" numFmtId="10" xfId="0" applyAlignment="1" applyBorder="1" applyFont="1" applyNumberFormat="1">
      <alignment horizontal="center" shrinkToFit="0" vertical="center" wrapText="1"/>
    </xf>
    <xf borderId="21" fillId="0" fontId="1" numFmtId="167" xfId="0" applyAlignment="1" applyBorder="1" applyFont="1" applyNumberFormat="1">
      <alignment horizontal="center" vertical="center"/>
    </xf>
    <xf borderId="13" fillId="8" fontId="19" numFmtId="169" xfId="0" applyAlignment="1" applyBorder="1" applyFill="1" applyFont="1" applyNumberFormat="1">
      <alignment horizontal="center" vertical="center"/>
    </xf>
    <xf borderId="50" fillId="3" fontId="35" numFmtId="0" xfId="0" applyAlignment="1" applyBorder="1" applyFill="1" applyFont="1">
      <alignment vertical="center"/>
    </xf>
    <xf borderId="13" fillId="8" fontId="19" numFmtId="0" xfId="0" applyAlignment="1" applyBorder="1" applyFill="1" applyFont="1">
      <alignment horizontal="center" vertical="center"/>
    </xf>
    <xf borderId="13" fillId="17" fontId="10" numFmtId="165" xfId="0" applyAlignment="1" applyBorder="1" applyFill="1" applyFont="1" applyNumberFormat="1">
      <alignment horizontal="right" vertical="center"/>
    </xf>
    <xf borderId="51" fillId="3" fontId="35" numFmtId="165" xfId="0" applyAlignment="1" applyBorder="1" applyFill="1" applyFont="1" applyNumberFormat="1">
      <alignment horizontal="center" vertical="center"/>
    </xf>
    <xf borderId="13" fillId="8" fontId="25" numFmtId="0" xfId="0" applyAlignment="1" applyBorder="1" applyFill="1" applyFont="1">
      <alignment horizontal="center" vertical="center"/>
    </xf>
    <xf borderId="52" fillId="3" fontId="35" numFmtId="10" xfId="0" applyAlignment="1" applyBorder="1" applyFill="1" applyFont="1" applyNumberFormat="1">
      <alignment vertical="center"/>
    </xf>
    <xf borderId="0" fillId="15" fontId="1" numFmtId="164" xfId="0" applyFill="1" applyFont="1" applyNumberFormat="1"/>
    <xf borderId="13" fillId="4" fontId="10" numFmtId="10" xfId="0" applyAlignment="1" applyBorder="1" applyFill="1" applyFont="1" applyNumberFormat="1">
      <alignment horizontal="center" vertical="center"/>
    </xf>
    <xf borderId="0" fillId="0" fontId="6" numFmtId="165" xfId="0" applyAlignment="1" applyFont="1" applyNumberFormat="1">
      <alignment vertical="center"/>
    </xf>
    <xf borderId="53" fillId="0" fontId="1" numFmtId="0" xfId="0" applyAlignment="1" applyBorder="1" applyFont="1">
      <alignment horizontal="center" vertical="center"/>
    </xf>
    <xf borderId="54" fillId="17" fontId="10" numFmtId="165" xfId="0" applyAlignment="1" applyBorder="1" applyFill="1" applyFont="1" applyNumberFormat="1">
      <alignment horizontal="right" vertical="center"/>
    </xf>
    <xf borderId="0" fillId="2" fontId="1" numFmtId="0" xfId="0" applyAlignment="1" applyFill="1" applyFont="1">
      <alignment horizontal="center" shrinkToFit="0" wrapText="1"/>
    </xf>
    <xf borderId="25" fillId="2" fontId="19" numFmtId="164" xfId="0" applyAlignment="1" applyBorder="1" applyFill="1" applyFont="1" applyNumberFormat="1">
      <alignment horizontal="center" vertical="center"/>
    </xf>
    <xf borderId="13" fillId="0" fontId="1" numFmtId="167" xfId="0" applyAlignment="1" applyBorder="1" applyFont="1" applyNumberFormat="1">
      <alignment horizontal="center" vertical="center"/>
    </xf>
    <xf borderId="25" fillId="2" fontId="19" numFmtId="169" xfId="0" applyAlignment="1" applyBorder="1" applyFill="1" applyFont="1" applyNumberFormat="1">
      <alignment horizontal="center" vertical="center"/>
    </xf>
    <xf borderId="54" fillId="17" fontId="10" numFmtId="164" xfId="0" applyAlignment="1" applyBorder="1" applyFill="1" applyFont="1" applyNumberFormat="1">
      <alignment horizontal="center" vertical="center"/>
    </xf>
    <xf borderId="13" fillId="2" fontId="6" numFmtId="165" xfId="0" applyAlignment="1" applyBorder="1" applyFill="1" applyFont="1" applyNumberFormat="1">
      <alignment horizontal="center" vertical="center"/>
    </xf>
    <xf borderId="38" fillId="18" fontId="10" numFmtId="10" xfId="0" applyAlignment="1" applyBorder="1" applyFill="1" applyFont="1" applyNumberFormat="1">
      <alignment horizontal="center" vertical="center"/>
    </xf>
    <xf borderId="25" fillId="0" fontId="19" numFmtId="0" xfId="0" applyAlignment="1" applyBorder="1" applyFont="1">
      <alignment horizontal="center" vertical="center"/>
    </xf>
    <xf borderId="13" fillId="17" fontId="36" numFmtId="0" xfId="0" applyAlignment="1" applyBorder="1" applyFill="1" applyFont="1">
      <alignment readingOrder="0" shrinkToFit="0" vertical="center" wrapText="1"/>
    </xf>
    <xf borderId="0" fillId="2" fontId="18" numFmtId="0" xfId="0" applyAlignment="1" applyFill="1" applyFont="1">
      <alignment horizontal="center" shrinkToFit="0" vertical="center" wrapText="1"/>
    </xf>
    <xf borderId="13" fillId="0" fontId="1" numFmtId="0" xfId="0" applyAlignment="1" applyBorder="1" applyFont="1">
      <alignment horizontal="center"/>
    </xf>
    <xf borderId="13" fillId="17" fontId="25" numFmtId="165" xfId="0" applyAlignment="1" applyBorder="1" applyFill="1" applyFont="1" applyNumberFormat="1">
      <alignment horizontal="right" vertical="center"/>
    </xf>
    <xf borderId="13" fillId="0" fontId="19" numFmtId="164" xfId="0" applyAlignment="1" applyBorder="1" applyFont="1" applyNumberFormat="1">
      <alignment horizontal="center" vertical="center"/>
    </xf>
    <xf borderId="13" fillId="17" fontId="10" numFmtId="10" xfId="0" applyAlignment="1" applyBorder="1" applyFill="1" applyFont="1" applyNumberFormat="1">
      <alignment horizontal="center" vertical="center"/>
    </xf>
    <xf borderId="0" fillId="2" fontId="3" numFmtId="0" xfId="0" applyAlignment="1" applyFill="1" applyFont="1">
      <alignment horizontal="center" shrinkToFit="0" vertical="center" wrapText="1"/>
    </xf>
    <xf borderId="13" fillId="2" fontId="3" numFmtId="167" xfId="0" applyAlignment="1" applyBorder="1" applyFill="1" applyFont="1" applyNumberFormat="1">
      <alignment horizontal="center" vertical="center"/>
    </xf>
    <xf borderId="13" fillId="2" fontId="19" numFmtId="0" xfId="0" applyAlignment="1" applyBorder="1" applyFill="1" applyFont="1">
      <alignment horizontal="center" vertical="center"/>
    </xf>
    <xf borderId="53" fillId="0" fontId="32" numFmtId="0" xfId="0" applyAlignment="1" applyBorder="1" applyFont="1">
      <alignment horizontal="center"/>
    </xf>
    <xf borderId="44" fillId="9" fontId="19" numFmtId="0" xfId="0" applyAlignment="1" applyBorder="1" applyFill="1" applyFont="1">
      <alignment horizontal="center" shrinkToFit="0" vertical="center" wrapText="1"/>
    </xf>
    <xf borderId="13" fillId="2" fontId="25" numFmtId="0" xfId="0" applyAlignment="1" applyBorder="1" applyFill="1" applyFont="1">
      <alignment horizontal="center" vertical="center"/>
    </xf>
    <xf borderId="44" fillId="2" fontId="19" numFmtId="0" xfId="0" applyAlignment="1" applyBorder="1" applyFill="1" applyFont="1">
      <alignment horizontal="center" shrinkToFit="0" vertical="center" wrapText="1"/>
    </xf>
    <xf borderId="55" fillId="3" fontId="37" numFmtId="0" xfId="0" applyAlignment="1" applyBorder="1" applyFill="1" applyFont="1">
      <alignment horizontal="center" vertical="center"/>
    </xf>
    <xf borderId="56" fillId="0" fontId="7" numFmtId="0" xfId="0" applyBorder="1" applyFont="1"/>
    <xf borderId="23" fillId="0" fontId="25" numFmtId="165" xfId="0" applyAlignment="1" applyBorder="1" applyFont="1" applyNumberFormat="1">
      <alignment horizontal="right" vertical="center"/>
    </xf>
    <xf borderId="57" fillId="3" fontId="38" numFmtId="167" xfId="0" applyAlignment="1" applyBorder="1" applyFill="1" applyFont="1" applyNumberFormat="1">
      <alignment vertical="center"/>
    </xf>
    <xf borderId="10" fillId="2" fontId="19" numFmtId="0" xfId="0" applyAlignment="1" applyBorder="1" applyFill="1" applyFont="1">
      <alignment horizontal="center" vertical="center"/>
    </xf>
    <xf borderId="57" fillId="3" fontId="38" numFmtId="0" xfId="0" applyAlignment="1" applyBorder="1" applyFill="1" applyFont="1">
      <alignment vertical="center"/>
    </xf>
    <xf borderId="58" fillId="8" fontId="3" numFmtId="0" xfId="0" applyAlignment="1" applyBorder="1" applyFill="1" applyFont="1">
      <alignment horizontal="center" shrinkToFit="0" vertical="center" wrapText="1"/>
    </xf>
    <xf borderId="59" fillId="3" fontId="38" numFmtId="167" xfId="0" applyAlignment="1" applyBorder="1" applyFill="1" applyFont="1" applyNumberFormat="1">
      <alignment vertical="center"/>
    </xf>
    <xf borderId="43" fillId="8" fontId="3" numFmtId="164" xfId="0" applyAlignment="1" applyBorder="1" applyFill="1" applyFont="1" applyNumberFormat="1">
      <alignment horizontal="center" vertical="center"/>
    </xf>
    <xf borderId="21" fillId="8" fontId="19" numFmtId="0" xfId="0" applyAlignment="1" applyBorder="1" applyFill="1" applyFont="1">
      <alignment horizontal="center" vertical="center"/>
    </xf>
    <xf borderId="44" fillId="8" fontId="19" numFmtId="0" xfId="0" applyAlignment="1" applyBorder="1" applyFill="1" applyFont="1">
      <alignment horizontal="center" shrinkToFit="0" vertical="center" wrapText="1"/>
    </xf>
    <xf borderId="58" fillId="8" fontId="3" numFmtId="0" xfId="0" applyAlignment="1" applyBorder="1" applyFill="1" applyFont="1">
      <alignment horizontal="center" readingOrder="0" shrinkToFit="0" vertical="center" wrapText="1"/>
    </xf>
    <xf borderId="45" fillId="8" fontId="3" numFmtId="164" xfId="0" applyAlignment="1" applyBorder="1" applyFill="1" applyFont="1" applyNumberFormat="1">
      <alignment horizontal="center"/>
    </xf>
    <xf borderId="13" fillId="7" fontId="3" numFmtId="167" xfId="0" applyAlignment="1" applyBorder="1" applyFill="1" applyFont="1" applyNumberFormat="1">
      <alignment horizontal="center" vertical="center"/>
    </xf>
    <xf borderId="57" fillId="3" fontId="38" numFmtId="167" xfId="0" applyAlignment="1" applyBorder="1" applyFill="1" applyFont="1" applyNumberFormat="1">
      <alignment horizontal="center" vertical="center"/>
    </xf>
    <xf borderId="58" fillId="8" fontId="18" numFmtId="0" xfId="0" applyAlignment="1" applyBorder="1" applyFill="1" applyFont="1">
      <alignment horizontal="center" readingOrder="0" shrinkToFit="0" vertical="center" wrapText="1"/>
    </xf>
    <xf borderId="13" fillId="19" fontId="3" numFmtId="167" xfId="0" applyAlignment="1" applyBorder="1" applyFill="1" applyFont="1" applyNumberFormat="1">
      <alignment horizontal="center" vertical="center"/>
    </xf>
    <xf borderId="21" fillId="8" fontId="19" numFmtId="169" xfId="0" applyAlignment="1" applyBorder="1" applyFill="1" applyFont="1" applyNumberFormat="1">
      <alignment horizontal="center" vertical="center"/>
    </xf>
    <xf borderId="13" fillId="8" fontId="3" numFmtId="167" xfId="0" applyAlignment="1" applyBorder="1" applyFill="1" applyFont="1" applyNumberFormat="1">
      <alignment horizontal="center" vertical="center"/>
    </xf>
    <xf borderId="36" fillId="18" fontId="10" numFmtId="164" xfId="0" applyAlignment="1" applyBorder="1" applyFill="1" applyFont="1" applyNumberFormat="1">
      <alignment horizontal="center" vertical="center"/>
    </xf>
    <xf borderId="58" fillId="8" fontId="39" numFmtId="0" xfId="0" applyAlignment="1" applyBorder="1" applyFill="1" applyFont="1">
      <alignment horizontal="center" readingOrder="0" shrinkToFit="0" vertical="center" wrapText="1"/>
    </xf>
    <xf borderId="0" fillId="0" fontId="32" numFmtId="0" xfId="0" applyAlignment="1" applyFont="1">
      <alignment horizontal="center" shrinkToFit="0" vertical="center" wrapText="1"/>
    </xf>
    <xf borderId="13" fillId="8" fontId="1" numFmtId="164" xfId="0" applyAlignment="1" applyBorder="1" applyFill="1" applyFont="1" applyNumberFormat="1">
      <alignment horizontal="center" vertical="center"/>
    </xf>
    <xf borderId="13" fillId="17" fontId="10" numFmtId="0" xfId="0" applyAlignment="1" applyBorder="1" applyFill="1" applyFont="1">
      <alignment vertical="center"/>
    </xf>
    <xf borderId="25" fillId="0" fontId="1" numFmtId="165" xfId="0" applyAlignment="1" applyBorder="1" applyFont="1" applyNumberFormat="1">
      <alignment horizontal="center" vertical="center"/>
    </xf>
    <xf borderId="13" fillId="8" fontId="3" numFmtId="0" xfId="0" applyAlignment="1" applyBorder="1" applyFill="1" applyFont="1">
      <alignment horizontal="center"/>
    </xf>
    <xf borderId="58" fillId="8" fontId="39" numFmtId="0" xfId="0" applyAlignment="1" applyBorder="1" applyFill="1" applyFont="1">
      <alignment horizontal="center" shrinkToFit="0" vertical="center" wrapText="1"/>
    </xf>
    <xf borderId="25" fillId="0" fontId="1" numFmtId="167" xfId="0" applyAlignment="1" applyBorder="1" applyFont="1" applyNumberFormat="1">
      <alignment horizontal="center" vertical="center"/>
    </xf>
    <xf borderId="21" fillId="8" fontId="19" numFmtId="166" xfId="0" applyAlignment="1" applyBorder="1" applyFill="1" applyFont="1" applyNumberFormat="1">
      <alignment horizontal="center" vertical="center"/>
    </xf>
    <xf borderId="25" fillId="2" fontId="1" numFmtId="167" xfId="0" applyAlignment="1" applyBorder="1" applyFill="1" applyFont="1" applyNumberFormat="1">
      <alignment vertical="center"/>
    </xf>
    <xf borderId="23" fillId="8" fontId="3" numFmtId="0" xfId="0" applyAlignment="1" applyBorder="1" applyFill="1" applyFont="1">
      <alignment horizontal="center"/>
    </xf>
    <xf borderId="44" fillId="8" fontId="3" numFmtId="164" xfId="0" applyAlignment="1" applyBorder="1" applyFill="1" applyFont="1" applyNumberFormat="1">
      <alignment horizontal="center"/>
    </xf>
    <xf borderId="43" fillId="2" fontId="25" numFmtId="165" xfId="0" applyAlignment="1" applyBorder="1" applyFill="1" applyFont="1" applyNumberFormat="1">
      <alignment horizontal="right"/>
    </xf>
    <xf borderId="44" fillId="2" fontId="25" numFmtId="165" xfId="0" applyAlignment="1" applyBorder="1" applyFill="1" applyFont="1" applyNumberFormat="1">
      <alignment horizontal="right"/>
    </xf>
    <xf borderId="58" fillId="8" fontId="18" numFmtId="0" xfId="0" applyAlignment="1" applyBorder="1" applyFill="1" applyFont="1">
      <alignment horizontal="center" shrinkToFit="0" vertical="center" wrapText="1"/>
    </xf>
    <xf borderId="48" fillId="2" fontId="3" numFmtId="165" xfId="0" applyAlignment="1" applyBorder="1" applyFill="1" applyFont="1" applyNumberFormat="1">
      <alignment horizontal="center" vertical="center"/>
    </xf>
    <xf borderId="28" fillId="16" fontId="3" numFmtId="164" xfId="0" applyAlignment="1" applyBorder="1" applyFill="1" applyFont="1" applyNumberFormat="1">
      <alignment horizontal="center"/>
    </xf>
    <xf borderId="13" fillId="0" fontId="25" numFmtId="0" xfId="0" applyAlignment="1" applyBorder="1" applyFont="1">
      <alignment vertical="center"/>
    </xf>
    <xf borderId="13" fillId="2" fontId="1" numFmtId="167" xfId="0" applyAlignment="1" applyBorder="1" applyFill="1" applyFont="1" applyNumberFormat="1">
      <alignment horizontal="center" vertical="center"/>
    </xf>
    <xf borderId="60" fillId="8" fontId="18" numFmtId="0" xfId="0" applyAlignment="1" applyBorder="1" applyFill="1" applyFont="1">
      <alignment horizontal="center" shrinkToFit="0" vertical="center" wrapText="1"/>
    </xf>
    <xf borderId="43" fillId="16" fontId="3" numFmtId="164" xfId="0" applyAlignment="1" applyBorder="1" applyFill="1" applyFont="1" applyNumberFormat="1">
      <alignment horizontal="center"/>
    </xf>
    <xf borderId="1" fillId="3" fontId="38" numFmtId="167" xfId="0" applyAlignment="1" applyBorder="1" applyFill="1" applyFont="1" applyNumberFormat="1">
      <alignment vertical="center"/>
    </xf>
    <xf borderId="61" fillId="8" fontId="19" numFmtId="0" xfId="0" applyAlignment="1" applyBorder="1" applyFill="1" applyFont="1">
      <alignment horizontal="center" shrinkToFit="0" vertical="center" wrapText="1"/>
    </xf>
    <xf borderId="1" fillId="3" fontId="38" numFmtId="0" xfId="0" applyAlignment="1" applyBorder="1" applyFill="1" applyFont="1">
      <alignment vertical="center"/>
    </xf>
    <xf borderId="13" fillId="3" fontId="37" numFmtId="0" xfId="0" applyAlignment="1" applyBorder="1" applyFill="1" applyFont="1">
      <alignment horizontal="center" vertical="center"/>
    </xf>
    <xf borderId="15" fillId="8" fontId="3" numFmtId="0" xfId="0" applyAlignment="1" applyBorder="1" applyFill="1" applyFont="1">
      <alignment horizontal="center" shrinkToFit="0" wrapText="1"/>
    </xf>
    <xf borderId="1" fillId="3" fontId="38" numFmtId="165" xfId="0" applyAlignment="1" applyBorder="1" applyFill="1" applyFont="1" applyNumberFormat="1">
      <alignment horizontal="center" vertical="center"/>
    </xf>
    <xf borderId="13" fillId="3" fontId="37" numFmtId="164" xfId="0" applyAlignment="1" applyBorder="1" applyFill="1" applyFont="1" applyNumberFormat="1">
      <alignment horizontal="right" vertical="center"/>
    </xf>
    <xf borderId="13" fillId="3" fontId="37" numFmtId="10" xfId="0" applyAlignment="1" applyBorder="1" applyFill="1" applyFont="1" applyNumberFormat="1">
      <alignment horizontal="center" vertical="center"/>
    </xf>
    <xf borderId="43" fillId="7" fontId="3" numFmtId="164" xfId="0" applyAlignment="1" applyBorder="1" applyFill="1" applyFont="1" applyNumberFormat="1">
      <alignment horizontal="left"/>
    </xf>
    <xf borderId="0" fillId="8" fontId="1" numFmtId="0" xfId="0" applyAlignment="1" applyFill="1" applyFont="1">
      <alignment horizontal="left"/>
    </xf>
    <xf borderId="54" fillId="3" fontId="37" numFmtId="165" xfId="0" applyAlignment="1" applyBorder="1" applyFill="1" applyFont="1" applyNumberFormat="1">
      <alignment horizontal="right" vertical="center"/>
    </xf>
    <xf borderId="53" fillId="3" fontId="37" numFmtId="165" xfId="0" applyAlignment="1" applyBorder="1" applyFill="1" applyFont="1" applyNumberFormat="1">
      <alignment horizontal="right" vertical="center"/>
    </xf>
    <xf borderId="34" fillId="3" fontId="38" numFmtId="0" xfId="0" applyAlignment="1" applyBorder="1" applyFill="1" applyFont="1">
      <alignment horizontal="center" shrinkToFit="0" vertical="center" wrapText="1"/>
    </xf>
    <xf borderId="1" fillId="3" fontId="38" numFmtId="167" xfId="0" applyAlignment="1" applyBorder="1" applyFill="1" applyFont="1" applyNumberFormat="1">
      <alignment horizontal="center" vertical="center"/>
    </xf>
    <xf borderId="62" fillId="0" fontId="7" numFmtId="0" xfId="0" applyBorder="1" applyFont="1"/>
    <xf borderId="44" fillId="0" fontId="7" numFmtId="0" xfId="0" applyBorder="1" applyFont="1"/>
    <xf borderId="63" fillId="3" fontId="37" numFmtId="164" xfId="0" applyAlignment="1" applyBorder="1" applyFill="1" applyFont="1" applyNumberFormat="1">
      <alignment horizontal="center" vertical="center"/>
    </xf>
    <xf borderId="64" fillId="3" fontId="37" numFmtId="10" xfId="0" applyAlignment="1" applyBorder="1" applyFill="1" applyFont="1" applyNumberFormat="1">
      <alignment horizontal="center" vertical="center"/>
    </xf>
    <xf borderId="13" fillId="3" fontId="38" numFmtId="164" xfId="0" applyAlignment="1" applyBorder="1" applyFill="1" applyFont="1" applyNumberFormat="1">
      <alignment horizontal="center" vertical="center"/>
    </xf>
    <xf borderId="0" fillId="0" fontId="40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0" fontId="40" numFmtId="4" xfId="0" applyAlignment="1" applyFont="1" applyNumberFormat="1">
      <alignment vertical="center"/>
    </xf>
    <xf borderId="13" fillId="0" fontId="25" numFmtId="0" xfId="0" applyAlignment="1" applyBorder="1" applyFont="1">
      <alignment horizontal="center"/>
    </xf>
    <xf borderId="0" fillId="0" fontId="40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/>
    </xf>
    <xf borderId="0" fillId="2" fontId="40" numFmtId="170" xfId="0" applyAlignment="1" applyFill="1" applyFont="1" applyNumberFormat="1">
      <alignment vertical="center"/>
    </xf>
    <xf borderId="0" fillId="0" fontId="1" numFmtId="165" xfId="0" applyAlignment="1" applyFont="1" applyNumberFormat="1">
      <alignment horizontal="right"/>
    </xf>
    <xf borderId="0" fillId="0" fontId="1" numFmtId="165" xfId="0" applyAlignment="1" applyFont="1" applyNumberFormat="1">
      <alignment horizontal="center" vertical="center"/>
    </xf>
    <xf borderId="0" fillId="2" fontId="6" numFmtId="0" xfId="0" applyAlignment="1" applyFill="1" applyFont="1">
      <alignment vertical="center"/>
    </xf>
    <xf borderId="0" fillId="2" fontId="40" numFmtId="0" xfId="0" applyAlignment="1" applyFill="1" applyFont="1">
      <alignment vertical="center"/>
    </xf>
    <xf borderId="0" fillId="0" fontId="1" numFmtId="164" xfId="0" applyFont="1" applyNumberFormat="1"/>
    <xf borderId="0" fillId="2" fontId="6" numFmtId="165" xfId="0" applyAlignment="1" applyFill="1" applyFont="1" applyNumberFormat="1">
      <alignment vertical="center"/>
    </xf>
    <xf borderId="0" fillId="2" fontId="6" numFmtId="165" xfId="0" applyAlignment="1" applyFill="1" applyFont="1" applyNumberFormat="1">
      <alignment horizontal="right" vertical="center"/>
    </xf>
    <xf borderId="0" fillId="0" fontId="1" numFmtId="10" xfId="0" applyFont="1" applyNumberFormat="1"/>
    <xf borderId="21" fillId="3" fontId="14" numFmtId="0" xfId="0" applyAlignment="1" applyBorder="1" applyFill="1" applyFont="1">
      <alignment horizontal="center" shrinkToFit="0" vertical="center" wrapText="1"/>
    </xf>
    <xf borderId="0" fillId="2" fontId="6" numFmtId="164" xfId="0" applyAlignment="1" applyFill="1" applyFont="1" applyNumberFormat="1">
      <alignment vertical="center"/>
    </xf>
    <xf borderId="0" fillId="2" fontId="40" numFmtId="165" xfId="0" applyAlignment="1" applyFill="1" applyFont="1" applyNumberFormat="1">
      <alignment horizontal="right" vertical="center"/>
    </xf>
    <xf borderId="21" fillId="4" fontId="22" numFmtId="0" xfId="0" applyAlignment="1" applyBorder="1" applyFill="1" applyFont="1">
      <alignment horizontal="center" shrinkToFit="0" vertical="center" wrapText="1"/>
    </xf>
    <xf borderId="65" fillId="4" fontId="41" numFmtId="0" xfId="0" applyAlignment="1" applyBorder="1" applyFill="1" applyFont="1">
      <alignment horizontal="center" shrinkToFit="0" vertical="center" wrapText="1"/>
    </xf>
    <xf borderId="25" fillId="4" fontId="41" numFmtId="0" xfId="0" applyAlignment="1" applyBorder="1" applyFill="1" applyFont="1">
      <alignment horizontal="center" vertical="center"/>
    </xf>
    <xf borderId="0" fillId="2" fontId="40" numFmtId="164" xfId="0" applyAlignment="1" applyFill="1" applyFont="1" applyNumberFormat="1">
      <alignment vertical="center"/>
    </xf>
    <xf borderId="25" fillId="4" fontId="41" numFmtId="0" xfId="0" applyAlignment="1" applyBorder="1" applyFill="1" applyFont="1">
      <alignment horizontal="center" shrinkToFit="0" vertical="center" wrapText="1"/>
    </xf>
    <xf borderId="13" fillId="4" fontId="41" numFmtId="0" xfId="0" applyAlignment="1" applyBorder="1" applyFill="1" applyFont="1">
      <alignment horizontal="center" shrinkToFit="0" vertical="center" wrapText="1"/>
    </xf>
    <xf borderId="0" fillId="2" fontId="40" numFmtId="165" xfId="0" applyAlignment="1" applyFill="1" applyFont="1" applyNumberFormat="1">
      <alignment vertical="center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 vertical="center"/>
    </xf>
    <xf borderId="13" fillId="0" fontId="41" numFmtId="0" xfId="0" applyAlignment="1" applyBorder="1" applyFont="1">
      <alignment horizontal="center" shrinkToFit="0" vertical="center" wrapText="1"/>
    </xf>
    <xf borderId="13" fillId="0" fontId="42" numFmtId="17" xfId="0" applyAlignment="1" applyBorder="1" applyFont="1" applyNumberFormat="1">
      <alignment horizontal="center" vertical="center"/>
    </xf>
    <xf borderId="13" fillId="0" fontId="42" numFmtId="16" xfId="0" applyAlignment="1" applyBorder="1" applyFont="1" applyNumberFormat="1">
      <alignment horizontal="center" vertical="center"/>
    </xf>
    <xf borderId="13" fillId="0" fontId="42" numFmtId="164" xfId="0" applyAlignment="1" applyBorder="1" applyFont="1" applyNumberFormat="1">
      <alignment horizontal="center" vertical="center"/>
    </xf>
    <xf borderId="13" fillId="0" fontId="1" numFmtId="0" xfId="0" applyBorder="1" applyFont="1"/>
    <xf borderId="13" fillId="0" fontId="42" numFmtId="0" xfId="0" applyAlignment="1" applyBorder="1" applyFont="1">
      <alignment horizontal="center" vertical="center"/>
    </xf>
    <xf borderId="13" fillId="0" fontId="43" numFmtId="0" xfId="0" applyAlignment="1" applyBorder="1" applyFont="1">
      <alignment horizontal="center" vertical="center"/>
    </xf>
    <xf borderId="13" fillId="0" fontId="44" numFmtId="0" xfId="0" applyBorder="1" applyFont="1"/>
    <xf borderId="0" fillId="0" fontId="44" numFmtId="0" xfId="0" applyAlignment="1" applyFont="1">
      <alignment horizontal="center" vertical="center"/>
    </xf>
    <xf borderId="21" fillId="3" fontId="45" numFmtId="0" xfId="0" applyAlignment="1" applyBorder="1" applyFill="1" applyFont="1">
      <alignment horizontal="center" shrinkToFit="0" vertical="center" wrapText="1"/>
    </xf>
    <xf borderId="13" fillId="3" fontId="45" numFmtId="171" xfId="0" applyAlignment="1" applyBorder="1" applyFill="1" applyFont="1" applyNumberFormat="1">
      <alignment horizontal="center" vertical="center"/>
    </xf>
    <xf borderId="13" fillId="3" fontId="45" numFmtId="164" xfId="0" applyAlignment="1" applyBorder="1" applyFill="1" applyFont="1" applyNumberFormat="1">
      <alignment horizontal="center" vertical="center"/>
    </xf>
    <xf borderId="0" fillId="0" fontId="46" numFmtId="165" xfId="0" applyAlignment="1" applyFont="1" applyNumberFormat="1">
      <alignment horizontal="right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2" fillId="3" fontId="14" numFmtId="0" xfId="0" applyAlignment="1" applyBorder="1" applyFill="1" applyFont="1">
      <alignment horizontal="center" shrinkToFit="0" wrapText="1"/>
    </xf>
    <xf borderId="12" fillId="4" fontId="33" numFmtId="0" xfId="0" applyAlignment="1" applyBorder="1" applyFill="1" applyFont="1">
      <alignment horizontal="center" shrinkToFit="0" wrapText="1"/>
    </xf>
    <xf borderId="10" fillId="4" fontId="47" numFmtId="0" xfId="0" applyAlignment="1" applyBorder="1" applyFill="1" applyFont="1">
      <alignment horizontal="center" shrinkToFit="0" wrapText="1"/>
    </xf>
    <xf borderId="10" fillId="4" fontId="47" numFmtId="0" xfId="0" applyAlignment="1" applyBorder="1" applyFill="1" applyFont="1">
      <alignment horizontal="center"/>
    </xf>
    <xf borderId="10" fillId="4" fontId="47" numFmtId="0" xfId="0" applyAlignment="1" applyBorder="1" applyFill="1" applyFont="1">
      <alignment horizontal="center" vertical="center"/>
    </xf>
    <xf borderId="13" fillId="0" fontId="47" numFmtId="0" xfId="0" applyAlignment="1" applyBorder="1" applyFont="1">
      <alignment horizontal="center" shrinkToFit="0" wrapText="1"/>
    </xf>
    <xf borderId="13" fillId="0" fontId="48" numFmtId="17" xfId="0" applyAlignment="1" applyBorder="1" applyFont="1" applyNumberFormat="1">
      <alignment horizontal="center"/>
    </xf>
    <xf borderId="13" fillId="0" fontId="48" numFmtId="166" xfId="0" applyAlignment="1" applyBorder="1" applyFont="1" applyNumberFormat="1">
      <alignment horizontal="center"/>
    </xf>
    <xf borderId="13" fillId="15" fontId="48" numFmtId="164" xfId="0" applyAlignment="1" applyBorder="1" applyFill="1" applyFont="1" applyNumberFormat="1">
      <alignment horizontal="center"/>
    </xf>
    <xf borderId="13" fillId="0" fontId="48" numFmtId="164" xfId="0" applyAlignment="1" applyBorder="1" applyFont="1" applyNumberFormat="1">
      <alignment horizontal="center"/>
    </xf>
    <xf borderId="13" fillId="0" fontId="48" numFmtId="0" xfId="0" applyAlignment="1" applyBorder="1" applyFont="1">
      <alignment horizontal="center"/>
    </xf>
    <xf borderId="13" fillId="0" fontId="48" numFmtId="169" xfId="0" applyAlignment="1" applyBorder="1" applyFont="1" applyNumberFormat="1">
      <alignment horizontal="center"/>
    </xf>
    <xf borderId="10" fillId="9" fontId="48" numFmtId="0" xfId="0" applyAlignment="1" applyBorder="1" applyFill="1" applyFont="1">
      <alignment horizontal="center" vertical="center"/>
    </xf>
    <xf borderId="13" fillId="0" fontId="1" numFmtId="165" xfId="0" applyAlignment="1" applyBorder="1" applyFont="1" applyNumberFormat="1">
      <alignment horizontal="center"/>
    </xf>
    <xf borderId="39" fillId="0" fontId="7" numFmtId="0" xfId="0" applyBorder="1" applyFont="1"/>
    <xf borderId="30" fillId="0" fontId="47" numFmtId="0" xfId="0" applyAlignment="1" applyBorder="1" applyFont="1">
      <alignment horizontal="center" shrinkToFit="0" wrapText="1"/>
    </xf>
    <xf borderId="30" fillId="0" fontId="48" numFmtId="17" xfId="0" applyAlignment="1" applyBorder="1" applyFont="1" applyNumberFormat="1">
      <alignment horizontal="center"/>
    </xf>
    <xf borderId="30" fillId="0" fontId="48" numFmtId="166" xfId="0" applyAlignment="1" applyBorder="1" applyFont="1" applyNumberFormat="1">
      <alignment horizontal="center"/>
    </xf>
    <xf borderId="30" fillId="15" fontId="48" numFmtId="164" xfId="0" applyAlignment="1" applyBorder="1" applyFill="1" applyFont="1" applyNumberFormat="1">
      <alignment horizontal="center"/>
    </xf>
    <xf borderId="30" fillId="0" fontId="48" numFmtId="164" xfId="0" applyAlignment="1" applyBorder="1" applyFont="1" applyNumberFormat="1">
      <alignment horizontal="center"/>
    </xf>
    <xf borderId="30" fillId="0" fontId="43" numFmtId="164" xfId="0" applyAlignment="1" applyBorder="1" applyFont="1" applyNumberFormat="1">
      <alignment horizontal="center"/>
    </xf>
    <xf borderId="30" fillId="0" fontId="43" numFmtId="0" xfId="0" applyAlignment="1" applyBorder="1" applyFont="1">
      <alignment horizontal="center"/>
    </xf>
    <xf borderId="30" fillId="0" fontId="48" numFmtId="169" xfId="0" applyAlignment="1" applyBorder="1" applyFont="1" applyNumberFormat="1">
      <alignment horizontal="center"/>
    </xf>
    <xf borderId="66" fillId="0" fontId="7" numFmtId="0" xfId="0" applyBorder="1" applyFont="1"/>
    <xf borderId="25" fillId="2" fontId="43" numFmtId="165" xfId="0" applyAlignment="1" applyBorder="1" applyFill="1" applyFont="1" applyNumberFormat="1">
      <alignment horizontal="center"/>
    </xf>
    <xf borderId="13" fillId="2" fontId="43" numFmtId="165" xfId="0" applyAlignment="1" applyBorder="1" applyFill="1" applyFont="1" applyNumberFormat="1">
      <alignment horizontal="center"/>
    </xf>
    <xf borderId="25" fillId="0" fontId="47" numFmtId="0" xfId="0" applyAlignment="1" applyBorder="1" applyFont="1">
      <alignment horizontal="center" shrinkToFit="0" wrapText="1"/>
    </xf>
    <xf borderId="25" fillId="0" fontId="48" numFmtId="17" xfId="0" applyAlignment="1" applyBorder="1" applyFont="1" applyNumberFormat="1">
      <alignment horizontal="center"/>
    </xf>
    <xf borderId="25" fillId="0" fontId="48" numFmtId="166" xfId="0" applyAlignment="1" applyBorder="1" applyFont="1" applyNumberFormat="1">
      <alignment horizontal="center"/>
    </xf>
    <xf borderId="25" fillId="15" fontId="48" numFmtId="164" xfId="0" applyAlignment="1" applyBorder="1" applyFill="1" applyFont="1" applyNumberFormat="1">
      <alignment horizontal="center"/>
    </xf>
    <xf borderId="25" fillId="2" fontId="48" numFmtId="164" xfId="0" applyAlignment="1" applyBorder="1" applyFill="1" applyFont="1" applyNumberFormat="1">
      <alignment horizontal="center"/>
    </xf>
    <xf borderId="25" fillId="2" fontId="43" numFmtId="164" xfId="0" applyAlignment="1" applyBorder="1" applyFill="1" applyFont="1" applyNumberFormat="1">
      <alignment horizontal="center"/>
    </xf>
    <xf borderId="25" fillId="2" fontId="43" numFmtId="0" xfId="0" applyAlignment="1" applyBorder="1" applyFill="1" applyFont="1">
      <alignment horizontal="center"/>
    </xf>
    <xf borderId="25" fillId="0" fontId="48" numFmtId="169" xfId="0" applyAlignment="1" applyBorder="1" applyFont="1" applyNumberFormat="1">
      <alignment horizontal="center"/>
    </xf>
    <xf borderId="39" fillId="20" fontId="42" numFmtId="0" xfId="0" applyAlignment="1" applyBorder="1" applyFill="1" applyFont="1">
      <alignment horizontal="center" vertical="center"/>
    </xf>
    <xf borderId="13" fillId="2" fontId="48" numFmtId="164" xfId="0" applyAlignment="1" applyBorder="1" applyFill="1" applyFont="1" applyNumberFormat="1">
      <alignment horizontal="center"/>
    </xf>
    <xf borderId="13" fillId="2" fontId="43" numFmtId="164" xfId="0" applyAlignment="1" applyBorder="1" applyFill="1" applyFont="1" applyNumberFormat="1">
      <alignment horizontal="center"/>
    </xf>
    <xf borderId="13" fillId="2" fontId="1" numFmtId="0" xfId="0" applyBorder="1" applyFill="1" applyFont="1"/>
    <xf borderId="13" fillId="2" fontId="1" numFmtId="14" xfId="0" applyBorder="1" applyFill="1" applyFont="1" applyNumberFormat="1"/>
    <xf borderId="13" fillId="0" fontId="43" numFmtId="164" xfId="0" applyAlignment="1" applyBorder="1" applyFont="1" applyNumberFormat="1">
      <alignment horizontal="center"/>
    </xf>
    <xf borderId="13" fillId="0" fontId="1" numFmtId="14" xfId="0" applyBorder="1" applyFont="1" applyNumberFormat="1"/>
    <xf borderId="13" fillId="0" fontId="1" numFmtId="165" xfId="0" applyBorder="1" applyFont="1" applyNumberFormat="1"/>
    <xf borderId="13" fillId="0" fontId="1" numFmtId="0" xfId="0" applyAlignment="1" applyBorder="1" applyFont="1">
      <alignment shrinkToFit="0" wrapText="1"/>
    </xf>
    <xf borderId="13" fillId="0" fontId="1" numFmtId="17" xfId="0" applyBorder="1" applyFont="1" applyNumberFormat="1"/>
    <xf borderId="13" fillId="0" fontId="1" numFmtId="166" xfId="0" applyBorder="1" applyFont="1" applyNumberFormat="1"/>
    <xf borderId="13" fillId="0" fontId="1" numFmtId="164" xfId="0" applyBorder="1" applyFont="1" applyNumberFormat="1"/>
    <xf borderId="21" fillId="3" fontId="49" numFmtId="0" xfId="0" applyAlignment="1" applyBorder="1" applyFill="1" applyFont="1">
      <alignment horizontal="center" shrinkToFit="0" wrapText="1"/>
    </xf>
    <xf borderId="13" fillId="3" fontId="49" numFmtId="164" xfId="0" applyAlignment="1" applyBorder="1" applyFill="1" applyFont="1" applyNumberFormat="1">
      <alignment horizontal="center"/>
    </xf>
    <xf borderId="13" fillId="2" fontId="42" numFmtId="0" xfId="0" applyAlignment="1" applyBorder="1" applyFill="1" applyFont="1">
      <alignment horizontal="center" vertical="center"/>
    </xf>
    <xf borderId="0" fillId="0" fontId="1" numFmtId="165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21" fillId="0" fontId="1" numFmtId="0" xfId="0" applyAlignment="1" applyBorder="1" applyFont="1">
      <alignment horizontal="center"/>
    </xf>
    <xf borderId="13" fillId="0" fontId="50" numFmtId="165" xfId="0" applyAlignment="1" applyBorder="1" applyFont="1" applyNumberFormat="1">
      <alignment horizontal="center" shrinkToFit="0" wrapText="1"/>
    </xf>
    <xf borderId="13" fillId="0" fontId="50" numFmtId="10" xfId="0" applyAlignment="1" applyBorder="1" applyFont="1" applyNumberFormat="1">
      <alignment horizontal="center" shrinkToFit="0" wrapText="1"/>
    </xf>
    <xf borderId="0" fillId="0" fontId="50" numFmtId="165" xfId="0" applyAlignment="1" applyFont="1" applyNumberFormat="1">
      <alignment horizontal="center" shrinkToFit="0" wrapText="1"/>
    </xf>
    <xf borderId="0" fillId="0" fontId="50" numFmtId="10" xfId="0" applyAlignment="1" applyFont="1" applyNumberFormat="1">
      <alignment horizontal="center" shrinkToFit="0" wrapText="1"/>
    </xf>
    <xf borderId="0" fillId="0" fontId="1" numFmtId="165" xfId="0" applyAlignment="1" applyFont="1" applyNumberFormat="1">
      <alignment horizontal="left"/>
    </xf>
    <xf borderId="0" fillId="2" fontId="50" numFmtId="165" xfId="0" applyAlignment="1" applyFill="1" applyFont="1" applyNumberFormat="1">
      <alignment horizontal="center" shrinkToFit="0" wrapText="1"/>
    </xf>
    <xf borderId="0" fillId="2" fontId="50" numFmtId="10" xfId="0" applyAlignment="1" applyFill="1" applyFont="1" applyNumberFormat="1">
      <alignment horizontal="center" shrinkToFit="0" wrapText="1"/>
    </xf>
    <xf borderId="13" fillId="0" fontId="51" numFmtId="4" xfId="0" applyAlignment="1" applyBorder="1" applyFont="1" applyNumberFormat="1">
      <alignment horizontal="center" shrinkToFit="0" wrapText="1"/>
    </xf>
    <xf borderId="0" fillId="0" fontId="51" numFmtId="4" xfId="0" applyAlignment="1" applyFont="1" applyNumberFormat="1">
      <alignment horizontal="center" shrinkToFit="0" wrapText="1"/>
    </xf>
    <xf borderId="4" fillId="3" fontId="14" numFmtId="0" xfId="0" applyAlignment="1" applyBorder="1" applyFill="1" applyFont="1">
      <alignment horizontal="center" vertical="center"/>
    </xf>
    <xf borderId="67" fillId="21" fontId="10" numFmtId="0" xfId="0" applyAlignment="1" applyBorder="1" applyFill="1" applyFont="1">
      <alignment horizontal="center" shrinkToFit="0" vertical="center" wrapText="1"/>
    </xf>
    <xf borderId="68" fillId="0" fontId="7" numFmtId="0" xfId="0" applyBorder="1" applyFont="1"/>
    <xf borderId="0" fillId="0" fontId="25" numFmtId="0" xfId="0" applyAlignment="1" applyFont="1">
      <alignment vertical="center"/>
    </xf>
    <xf borderId="46" fillId="11" fontId="10" numFmtId="0" xfId="0" applyAlignment="1" applyBorder="1" applyFill="1" applyFont="1">
      <alignment horizontal="center" shrinkToFit="0" vertical="center" wrapText="1"/>
    </xf>
    <xf borderId="48" fillId="11" fontId="10" numFmtId="0" xfId="0" applyAlignment="1" applyBorder="1" applyFill="1" applyFont="1">
      <alignment horizontal="center" shrinkToFit="0" vertical="center" wrapText="1"/>
    </xf>
    <xf borderId="69" fillId="11" fontId="10" numFmtId="0" xfId="0" applyAlignment="1" applyBorder="1" applyFill="1" applyFont="1">
      <alignment horizontal="center" shrinkToFit="0" vertical="center" wrapText="1"/>
    </xf>
    <xf borderId="46" fillId="21" fontId="10" numFmtId="0" xfId="0" applyAlignment="1" applyBorder="1" applyFill="1" applyFont="1">
      <alignment horizontal="center" shrinkToFit="0" vertical="center" wrapText="1"/>
    </xf>
    <xf borderId="48" fillId="21" fontId="10" numFmtId="0" xfId="0" applyAlignment="1" applyBorder="1" applyFill="1" applyFont="1">
      <alignment horizontal="center" shrinkToFit="0" vertical="center" wrapText="1"/>
    </xf>
    <xf borderId="69" fillId="21" fontId="10" numFmtId="0" xfId="0" applyAlignment="1" applyBorder="1" applyFill="1" applyFont="1">
      <alignment horizontal="center" shrinkToFit="0" vertical="center" wrapText="1"/>
    </xf>
    <xf borderId="43" fillId="2" fontId="25" numFmtId="164" xfId="0" applyAlignment="1" applyBorder="1" applyFill="1" applyFont="1" applyNumberFormat="1">
      <alignment horizontal="center" vertical="center"/>
    </xf>
    <xf borderId="70" fillId="0" fontId="25" numFmtId="10" xfId="0" applyAlignment="1" applyBorder="1" applyFont="1" applyNumberFormat="1">
      <alignment horizontal="center" shrinkToFit="0" vertical="center" wrapText="1"/>
    </xf>
    <xf borderId="0" fillId="0" fontId="25" numFmtId="10" xfId="0" applyAlignment="1" applyFont="1" applyNumberFormat="1">
      <alignment vertical="center"/>
    </xf>
    <xf borderId="43" fillId="7" fontId="25" numFmtId="164" xfId="0" applyAlignment="1" applyBorder="1" applyFill="1" applyFont="1" applyNumberFormat="1">
      <alignment horizontal="center" vertical="center"/>
    </xf>
    <xf borderId="43" fillId="2" fontId="25" numFmtId="165" xfId="0" applyAlignment="1" applyBorder="1" applyFill="1" applyFont="1" applyNumberFormat="1">
      <alignment horizontal="center" vertical="center"/>
    </xf>
    <xf borderId="43" fillId="9" fontId="25" numFmtId="165" xfId="0" applyAlignment="1" applyBorder="1" applyFill="1" applyFont="1" applyNumberFormat="1">
      <alignment horizontal="center" vertical="center"/>
    </xf>
    <xf borderId="46" fillId="6" fontId="25" numFmtId="0" xfId="0" applyAlignment="1" applyBorder="1" applyFill="1" applyFont="1">
      <alignment horizontal="left" shrinkToFit="0" vertical="center" wrapText="1"/>
    </xf>
    <xf borderId="13" fillId="0" fontId="29" numFmtId="167" xfId="0" applyAlignment="1" applyBorder="1" applyFont="1" applyNumberFormat="1">
      <alignment vertical="center"/>
    </xf>
    <xf borderId="71" fillId="6" fontId="25" numFmtId="10" xfId="0" applyAlignment="1" applyBorder="1" applyFill="1" applyFont="1" applyNumberFormat="1">
      <alignment horizontal="center" shrinkToFit="0" vertical="center" wrapText="1"/>
    </xf>
    <xf borderId="1" fillId="6" fontId="25" numFmtId="10" xfId="0" applyAlignment="1" applyBorder="1" applyFill="1" applyFont="1" applyNumberFormat="1">
      <alignment vertical="center"/>
    </xf>
    <xf borderId="72" fillId="6" fontId="25" numFmtId="0" xfId="0" applyAlignment="1" applyBorder="1" applyFill="1" applyFont="1">
      <alignment vertical="center"/>
    </xf>
    <xf borderId="73" fillId="6" fontId="25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vertical="center"/>
    </xf>
    <xf borderId="46" fillId="17" fontId="10" numFmtId="0" xfId="0" applyAlignment="1" applyBorder="1" applyFill="1" applyFont="1">
      <alignment horizontal="left" shrinkToFit="0" vertical="center" wrapText="1"/>
    </xf>
    <xf borderId="43" fillId="17" fontId="10" numFmtId="164" xfId="0" applyAlignment="1" applyBorder="1" applyFill="1" applyFont="1" applyNumberFormat="1">
      <alignment horizontal="center" vertical="center"/>
    </xf>
    <xf borderId="71" fillId="17" fontId="10" numFmtId="10" xfId="0" applyAlignment="1" applyBorder="1" applyFill="1" applyFont="1" applyNumberFormat="1">
      <alignment horizontal="center" shrinkToFit="0" vertical="center" wrapText="1"/>
    </xf>
    <xf borderId="0" fillId="0" fontId="10" numFmtId="10" xfId="0" applyAlignment="1" applyFont="1" applyNumberFormat="1">
      <alignment vertical="center"/>
    </xf>
    <xf borderId="43" fillId="17" fontId="10" numFmtId="165" xfId="0" applyAlignment="1" applyBorder="1" applyFill="1" applyFont="1" applyNumberFormat="1">
      <alignment horizontal="center" vertical="center"/>
    </xf>
    <xf borderId="42" fillId="0" fontId="36" numFmtId="0" xfId="0" applyAlignment="1" applyBorder="1" applyFont="1">
      <alignment horizontal="left" shrinkToFit="0" vertical="center" wrapText="1"/>
    </xf>
    <xf borderId="70" fillId="0" fontId="25" numFmtId="165" xfId="0" applyAlignment="1" applyBorder="1" applyFont="1" applyNumberFormat="1">
      <alignment horizontal="center" shrinkToFit="0" vertical="center" wrapText="1"/>
    </xf>
    <xf borderId="46" fillId="17" fontId="52" numFmtId="0" xfId="0" applyAlignment="1" applyBorder="1" applyFill="1" applyFont="1">
      <alignment horizontal="left" shrinkToFit="0" vertical="center" wrapText="1"/>
    </xf>
    <xf borderId="43" fillId="17" fontId="52" numFmtId="164" xfId="0" applyAlignment="1" applyBorder="1" applyFill="1" applyFont="1" applyNumberFormat="1">
      <alignment horizontal="center" vertical="center"/>
    </xf>
    <xf borderId="71" fillId="17" fontId="52" numFmtId="10" xfId="0" applyAlignment="1" applyBorder="1" applyFill="1" applyFont="1" applyNumberFormat="1">
      <alignment horizontal="center" shrinkToFit="0" vertical="center" wrapText="1"/>
    </xf>
    <xf borderId="38" fillId="0" fontId="25" numFmtId="10" xfId="0" applyAlignment="1" applyBorder="1" applyFont="1" applyNumberFormat="1">
      <alignment horizontal="center" shrinkToFit="0" vertical="center" wrapText="1"/>
    </xf>
    <xf borderId="36" fillId="4" fontId="10" numFmtId="0" xfId="0" applyAlignment="1" applyBorder="1" applyFill="1" applyFont="1">
      <alignment vertical="center"/>
    </xf>
    <xf borderId="13" fillId="4" fontId="10" numFmtId="165" xfId="0" applyAlignment="1" applyBorder="1" applyFill="1" applyFont="1" applyNumberFormat="1">
      <alignment horizontal="center" vertical="center"/>
    </xf>
    <xf borderId="38" fillId="4" fontId="10" numFmtId="10" xfId="0" applyAlignment="1" applyBorder="1" applyFill="1" applyFont="1" applyNumberFormat="1">
      <alignment horizontal="right" vertical="center"/>
    </xf>
    <xf borderId="38" fillId="4" fontId="10" numFmtId="10" xfId="0" applyAlignment="1" applyBorder="1" applyFill="1" applyFont="1" applyNumberFormat="1">
      <alignment horizontal="center" vertical="center"/>
    </xf>
    <xf borderId="38" fillId="0" fontId="25" numFmtId="10" xfId="0" applyAlignment="1" applyBorder="1" applyFont="1" applyNumberFormat="1">
      <alignment vertical="center"/>
    </xf>
    <xf borderId="38" fillId="0" fontId="25" numFmtId="10" xfId="0" applyAlignment="1" applyBorder="1" applyFont="1" applyNumberFormat="1">
      <alignment horizontal="center" vertical="center"/>
    </xf>
    <xf borderId="63" fillId="4" fontId="10" numFmtId="0" xfId="0" applyAlignment="1" applyBorder="1" applyFill="1" applyFont="1">
      <alignment vertical="center"/>
    </xf>
    <xf borderId="30" fillId="4" fontId="10" numFmtId="165" xfId="0" applyAlignment="1" applyBorder="1" applyFill="1" applyFont="1" applyNumberFormat="1">
      <alignment vertical="center"/>
    </xf>
    <xf borderId="64" fillId="4" fontId="10" numFmtId="10" xfId="0" applyAlignment="1" applyBorder="1" applyFill="1" applyFont="1" applyNumberFormat="1">
      <alignment vertical="center"/>
    </xf>
    <xf borderId="30" fillId="4" fontId="10" numFmtId="165" xfId="0" applyAlignment="1" applyBorder="1" applyFill="1" applyFont="1" applyNumberFormat="1">
      <alignment horizontal="center" vertical="center"/>
    </xf>
    <xf borderId="64" fillId="4" fontId="10" numFmtId="10" xfId="0" applyAlignment="1" applyBorder="1" applyFill="1" applyFont="1" applyNumberFormat="1">
      <alignment horizontal="center" vertical="center"/>
    </xf>
    <xf borderId="43" fillId="6" fontId="25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1.57"/>
    <col customWidth="1" min="2" max="2" width="25.0"/>
    <col customWidth="1" min="3" max="3" width="12.43"/>
    <col customWidth="1" min="4" max="4" width="9.0"/>
    <col customWidth="1" min="5" max="5" width="18.0"/>
    <col customWidth="1" min="6" max="7" width="12.57"/>
    <col customWidth="1" min="8" max="8" width="18.0"/>
    <col customWidth="1" min="9" max="9" width="9.14"/>
    <col customWidth="1" min="10" max="10" width="16.14"/>
    <col customWidth="1" min="11" max="11" width="6.86"/>
    <col customWidth="1" min="12" max="19" width="12.57"/>
  </cols>
  <sheetData>
    <row r="1">
      <c r="A1" s="6"/>
      <c r="B1" s="8"/>
      <c r="C1" s="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>
      <c r="A2" s="19" t="s">
        <v>2</v>
      </c>
      <c r="B2" s="21"/>
      <c r="C2" s="24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28" t="s">
        <v>13</v>
      </c>
      <c r="B3" s="11"/>
      <c r="C3" s="15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6"/>
      <c r="B4" s="8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31.5" customHeight="1">
      <c r="A5" s="37" t="s">
        <v>14</v>
      </c>
      <c r="B5" s="22"/>
      <c r="C5" s="25"/>
      <c r="D5" s="40"/>
      <c r="E5" s="40"/>
      <c r="F5" s="40"/>
      <c r="G5" s="4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22.5" customHeight="1">
      <c r="A6" s="44" t="s">
        <v>23</v>
      </c>
      <c r="B6" s="46"/>
      <c r="C6" s="47"/>
      <c r="D6" s="53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38.25" customHeight="1">
      <c r="A7" s="58" t="s">
        <v>37</v>
      </c>
      <c r="B7" s="46"/>
      <c r="C7" s="4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62" t="s">
        <v>49</v>
      </c>
      <c r="B8" s="62" t="s">
        <v>52</v>
      </c>
      <c r="C8" s="62" t="s">
        <v>53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69" t="s">
        <v>54</v>
      </c>
      <c r="B9" s="70">
        <v>835137.1</v>
      </c>
      <c r="C9" s="73">
        <f>B9/B24</f>
        <v>0.2787171274</v>
      </c>
      <c r="D9" s="10"/>
      <c r="E9" s="10"/>
      <c r="F9" s="10"/>
      <c r="G9" s="10"/>
      <c r="H9" s="75"/>
      <c r="I9" s="7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69" t="s">
        <v>58</v>
      </c>
      <c r="B10" s="70">
        <v>148000.0</v>
      </c>
      <c r="C10" s="82">
        <f>B10/B24</f>
        <v>0.04939324916</v>
      </c>
      <c r="D10" s="10"/>
      <c r="E10" s="88"/>
      <c r="F10" s="10"/>
      <c r="G10" s="10"/>
      <c r="H10" s="75"/>
      <c r="I10" s="7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24.0" customHeight="1">
      <c r="A11" s="69" t="s">
        <v>59</v>
      </c>
      <c r="B11" s="70">
        <v>1227850.0</v>
      </c>
      <c r="C11" s="82">
        <f>B11/B24</f>
        <v>0.409780412</v>
      </c>
      <c r="D11" s="10"/>
      <c r="E11" s="96"/>
      <c r="F11" s="10"/>
      <c r="G11" s="10"/>
      <c r="H11" s="75"/>
      <c r="I11" s="7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24.0" customHeight="1">
      <c r="A12" s="109" t="s">
        <v>60</v>
      </c>
      <c r="B12" s="70">
        <v>132000.0</v>
      </c>
      <c r="C12" s="82">
        <f>B12/B24</f>
        <v>0.04405343844</v>
      </c>
      <c r="D12" s="10"/>
      <c r="E12" s="96"/>
      <c r="F12" s="10"/>
      <c r="G12" s="10"/>
      <c r="H12" s="75"/>
      <c r="I12" s="7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ht="26.25" customHeight="1">
      <c r="A13" s="109" t="s">
        <v>62</v>
      </c>
      <c r="B13" s="70">
        <v>17035.26</v>
      </c>
      <c r="C13" s="82">
        <f>B13/B24</f>
        <v>0.005685316497</v>
      </c>
      <c r="D13" s="10"/>
      <c r="E13" s="96"/>
      <c r="F13" s="10"/>
      <c r="G13" s="10"/>
      <c r="H13" s="75"/>
      <c r="I13" s="7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ht="21.75" customHeight="1">
      <c r="A14" s="109" t="s">
        <v>63</v>
      </c>
      <c r="B14" s="70">
        <v>1050.0</v>
      </c>
      <c r="C14" s="82">
        <f>B14/$B$24</f>
        <v>0.0003504250785</v>
      </c>
      <c r="D14" s="10"/>
      <c r="E14" s="96"/>
      <c r="F14" s="10"/>
      <c r="G14" s="10"/>
      <c r="H14" s="75"/>
      <c r="I14" s="7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ht="27.75" customHeight="1">
      <c r="A15" s="115" t="s">
        <v>64</v>
      </c>
      <c r="B15" s="117">
        <f>SUM(B9:B14)</f>
        <v>2361072.36</v>
      </c>
      <c r="C15" s="120">
        <f>B15/B24</f>
        <v>0.7879799686</v>
      </c>
      <c r="D15" s="10"/>
      <c r="E15" s="96"/>
      <c r="F15" s="10"/>
      <c r="G15" s="10"/>
      <c r="H15" s="121"/>
      <c r="I15" s="122"/>
      <c r="J15" s="4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ht="41.25" customHeight="1">
      <c r="A16" s="124" t="s">
        <v>66</v>
      </c>
      <c r="B16" s="128">
        <f>SUM(B17:B20)</f>
        <v>182052.54</v>
      </c>
      <c r="C16" s="82">
        <f>B16/B24</f>
        <v>0.06075788154</v>
      </c>
      <c r="D16" s="10"/>
      <c r="E16" s="130"/>
      <c r="F16" s="10"/>
      <c r="G16" s="10"/>
      <c r="H16" s="75"/>
      <c r="I16" s="7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28.5" customHeight="1">
      <c r="A17" s="132" t="s">
        <v>68</v>
      </c>
      <c r="B17" s="128">
        <v>0.0</v>
      </c>
      <c r="C17" s="139">
        <f>B17/B24</f>
        <v>0</v>
      </c>
      <c r="D17" s="10"/>
      <c r="E17" s="10"/>
      <c r="F17" s="10"/>
      <c r="G17" s="10"/>
      <c r="H17" s="75"/>
      <c r="I17" s="7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ht="27.0" customHeight="1">
      <c r="A18" s="132" t="s">
        <v>74</v>
      </c>
      <c r="B18" s="128">
        <v>0.0</v>
      </c>
      <c r="C18" s="139">
        <f>B18/B24</f>
        <v>0</v>
      </c>
      <c r="D18" s="10"/>
      <c r="E18" s="10"/>
      <c r="F18" s="10"/>
      <c r="G18" s="10"/>
      <c r="H18" s="75"/>
      <c r="I18" s="7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ht="25.5" customHeight="1">
      <c r="A19" s="132" t="s">
        <v>76</v>
      </c>
      <c r="B19" s="70">
        <v>149853.04</v>
      </c>
      <c r="C19" s="82">
        <f>B19/B24</f>
        <v>0.05001167933</v>
      </c>
      <c r="D19" s="10"/>
      <c r="E19" s="10"/>
      <c r="F19" s="10"/>
      <c r="G19" s="10"/>
      <c r="H19" s="75"/>
      <c r="I19" s="76"/>
      <c r="J19" s="121"/>
      <c r="K19" s="122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ht="28.5" customHeight="1">
      <c r="A20" s="148" t="s">
        <v>79</v>
      </c>
      <c r="B20" s="70">
        <v>32199.5</v>
      </c>
      <c r="C20" s="82">
        <f>B20/B24</f>
        <v>0.0107462022</v>
      </c>
      <c r="D20" s="10"/>
      <c r="E20" s="10"/>
      <c r="F20" s="10"/>
      <c r="G20" s="10"/>
      <c r="H20" s="75"/>
      <c r="I20" s="76"/>
      <c r="J20" s="121"/>
      <c r="K20" s="122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ht="24.0" customHeight="1">
      <c r="A21" s="115" t="s">
        <v>80</v>
      </c>
      <c r="B21" s="152">
        <f>B15+B16</f>
        <v>2543124.9</v>
      </c>
      <c r="C21" s="120">
        <f>B21/B24</f>
        <v>0.8487378501</v>
      </c>
      <c r="D21" s="10"/>
      <c r="E21" s="10"/>
      <c r="F21" s="10"/>
      <c r="G21" s="10"/>
      <c r="H21" s="121"/>
      <c r="I21" s="122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ht="29.25" customHeight="1">
      <c r="A22" s="109" t="s">
        <v>83</v>
      </c>
      <c r="B22" s="154">
        <v>377878.77</v>
      </c>
      <c r="C22" s="82">
        <f>B22/B24</f>
        <v>0.1261125692</v>
      </c>
      <c r="D22" s="10"/>
      <c r="E22" s="10"/>
      <c r="F22" s="10"/>
      <c r="G22" s="10"/>
      <c r="H22" s="75"/>
      <c r="I22" s="7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27.0" customHeight="1">
      <c r="A23" s="157" t="s">
        <v>84</v>
      </c>
      <c r="B23" s="160">
        <v>75357.22</v>
      </c>
      <c r="C23" s="182">
        <f>B23/B24</f>
        <v>0.0251495807</v>
      </c>
      <c r="D23" s="10"/>
      <c r="E23" s="10"/>
      <c r="F23" s="10"/>
      <c r="G23" s="10"/>
      <c r="H23" s="75"/>
      <c r="I23" s="7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ht="30.75" customHeight="1">
      <c r="A24" s="185" t="s">
        <v>92</v>
      </c>
      <c r="B24" s="188">
        <f t="shared" ref="B24:C24" si="1">B21+B22+B23</f>
        <v>2996360.89</v>
      </c>
      <c r="C24" s="190">
        <f t="shared" si="1"/>
        <v>1</v>
      </c>
      <c r="D24" s="10"/>
      <c r="E24" s="10"/>
      <c r="F24" s="10"/>
      <c r="G24" s="10"/>
      <c r="H24" s="121"/>
      <c r="I24" s="122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ht="15.75" customHeight="1">
      <c r="A30" s="10"/>
      <c r="B30" s="193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3:C3"/>
    <mergeCell ref="A5:C5"/>
    <mergeCell ref="A6:C6"/>
    <mergeCell ref="A7:C7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5.0"/>
    <col customWidth="1" min="2" max="2" width="23.86"/>
    <col customWidth="1" min="3" max="3" width="12.29"/>
    <col customWidth="1" min="4" max="5" width="31.29"/>
    <col customWidth="1" min="6" max="6" width="22.0"/>
    <col customWidth="1" min="7" max="7" width="19.14"/>
    <col customWidth="1" min="8" max="8" width="5.0"/>
    <col customWidth="1" min="9" max="9" width="11.0"/>
    <col customWidth="1" min="10" max="10" width="14.29"/>
    <col customWidth="1" min="11" max="11" width="12.57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7.5" customHeight="1">
      <c r="A2" s="9" t="s">
        <v>0</v>
      </c>
      <c r="B2" s="11"/>
      <c r="C2" s="11"/>
      <c r="D2" s="11"/>
      <c r="E2" s="11"/>
      <c r="F2" s="11"/>
      <c r="G2" s="11"/>
      <c r="H2" s="15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48.75" customHeight="1">
      <c r="A3" s="20" t="s">
        <v>3</v>
      </c>
      <c r="B3" s="22"/>
      <c r="C3" s="25"/>
      <c r="D3" s="31"/>
      <c r="E3" s="33"/>
      <c r="F3" s="36" t="s">
        <v>16</v>
      </c>
      <c r="G3" s="38" t="s">
        <v>20</v>
      </c>
      <c r="H3" s="4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41.25" customHeight="1">
      <c r="A4" s="43"/>
      <c r="C4" s="52"/>
      <c r="D4" s="54" t="s">
        <v>34</v>
      </c>
      <c r="E4" s="54" t="s">
        <v>38</v>
      </c>
      <c r="F4" s="60" t="s">
        <v>39</v>
      </c>
      <c r="G4" s="65" t="s">
        <v>50</v>
      </c>
      <c r="H4" s="7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7" t="s">
        <v>56</v>
      </c>
      <c r="B5" s="81">
        <v>834817.17</v>
      </c>
      <c r="C5" s="84">
        <f t="shared" ref="C5:C9" si="1">B5/$B$21</f>
        <v>0.2785452817</v>
      </c>
      <c r="D5" s="86">
        <v>835137.1</v>
      </c>
      <c r="E5" s="90"/>
      <c r="F5" s="99">
        <f t="shared" ref="F5:F10" si="2">SUM(D5:E5)</f>
        <v>835137.1</v>
      </c>
      <c r="G5" s="102">
        <f>F5/F21</f>
        <v>0.494909556</v>
      </c>
      <c r="H5" s="105"/>
      <c r="I5" s="108"/>
      <c r="J5" s="111"/>
      <c r="K5" s="111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</row>
    <row r="6">
      <c r="A6" s="77" t="s">
        <v>58</v>
      </c>
      <c r="B6" s="119">
        <v>148000.0</v>
      </c>
      <c r="C6" s="84">
        <f t="shared" si="1"/>
        <v>0.04938171276</v>
      </c>
      <c r="D6" s="126">
        <v>96609.09</v>
      </c>
      <c r="E6" s="90"/>
      <c r="F6" s="99">
        <f t="shared" si="2"/>
        <v>96609.09</v>
      </c>
      <c r="G6" s="102">
        <f>F6/F21</f>
        <v>0.05725139242</v>
      </c>
      <c r="H6" s="105"/>
      <c r="I6" s="108"/>
      <c r="J6" s="111"/>
      <c r="K6" s="111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r="7">
      <c r="A7" s="133" t="s">
        <v>59</v>
      </c>
      <c r="B7" s="134">
        <v>1229600.0</v>
      </c>
      <c r="C7" s="84">
        <f t="shared" si="1"/>
        <v>0.4102686082</v>
      </c>
      <c r="D7" s="126">
        <v>168100.0</v>
      </c>
      <c r="E7" s="90"/>
      <c r="F7" s="99">
        <f t="shared" si="2"/>
        <v>168100</v>
      </c>
      <c r="G7" s="102">
        <f>F7/F21</f>
        <v>0.0996175315</v>
      </c>
      <c r="H7" s="105"/>
      <c r="I7" s="108"/>
      <c r="J7" s="111"/>
      <c r="K7" s="111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>
      <c r="A8" s="140" t="s">
        <v>70</v>
      </c>
      <c r="B8" s="134">
        <v>132000.0</v>
      </c>
      <c r="C8" s="84">
        <f t="shared" si="1"/>
        <v>0.04404314922</v>
      </c>
      <c r="D8" s="126">
        <v>12000.0</v>
      </c>
      <c r="E8" s="90"/>
      <c r="F8" s="99">
        <f t="shared" si="2"/>
        <v>12000</v>
      </c>
      <c r="G8" s="102">
        <f>F8/F21</f>
        <v>0.007111305044</v>
      </c>
      <c r="H8" s="105"/>
      <c r="I8" s="108"/>
      <c r="J8" s="111"/>
      <c r="K8" s="147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</row>
    <row r="9">
      <c r="A9" s="150" t="s">
        <v>62</v>
      </c>
      <c r="B9" s="126">
        <v>17035.26</v>
      </c>
      <c r="C9" s="84">
        <f t="shared" si="1"/>
        <v>0.005683988623</v>
      </c>
      <c r="D9" s="126">
        <v>17035.26</v>
      </c>
      <c r="E9" s="90"/>
      <c r="F9" s="99">
        <f t="shared" si="2"/>
        <v>17035.26</v>
      </c>
      <c r="G9" s="102">
        <f>F9/F21</f>
        <v>0.0100952442</v>
      </c>
      <c r="H9" s="105"/>
      <c r="I9" s="108"/>
      <c r="J9" s="111"/>
      <c r="K9" s="111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>
      <c r="A10" s="140" t="s">
        <v>81</v>
      </c>
      <c r="B10" s="134" t="s">
        <v>82</v>
      </c>
      <c r="C10" s="84">
        <f>0/$B$21</f>
        <v>0</v>
      </c>
      <c r="D10" s="126"/>
      <c r="E10" s="90"/>
      <c r="F10" s="99">
        <f t="shared" si="2"/>
        <v>0</v>
      </c>
      <c r="G10" s="102">
        <f>F10/F21</f>
        <v>0</v>
      </c>
      <c r="H10" s="105"/>
      <c r="I10" s="108"/>
      <c r="J10" s="111"/>
      <c r="K10" s="111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</row>
    <row r="11">
      <c r="A11" s="161" t="s">
        <v>64</v>
      </c>
      <c r="B11" s="187">
        <f>SUM(B5:B10)</f>
        <v>2361452.43</v>
      </c>
      <c r="C11" s="192">
        <f>B11/$B$21</f>
        <v>0.7879227405</v>
      </c>
      <c r="D11" s="195">
        <f t="shared" ref="D11:F11" si="3">SUM(D5:D10)</f>
        <v>1128881.45</v>
      </c>
      <c r="E11" s="195">
        <f t="shared" si="3"/>
        <v>0</v>
      </c>
      <c r="F11" s="200">
        <f t="shared" si="3"/>
        <v>1128881.45</v>
      </c>
      <c r="G11" s="202">
        <f>F11/F21</f>
        <v>0.6689850292</v>
      </c>
      <c r="H11" s="105"/>
      <c r="I11" s="108"/>
      <c r="J11" s="111"/>
      <c r="K11" s="111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</row>
    <row r="12">
      <c r="A12" s="204" t="s">
        <v>66</v>
      </c>
      <c r="B12" s="207">
        <f>SUM(B13:B16)</f>
        <v>182372.47</v>
      </c>
      <c r="C12" s="209">
        <v>0.40760693351745636</v>
      </c>
      <c r="D12" s="207">
        <f t="shared" ref="D12:G12" si="4">SUM(D13:D16)</f>
        <v>105336.54</v>
      </c>
      <c r="E12" s="207">
        <f t="shared" si="4"/>
        <v>0</v>
      </c>
      <c r="F12" s="200">
        <f t="shared" si="4"/>
        <v>105336.54</v>
      </c>
      <c r="G12" s="202">
        <f t="shared" si="4"/>
        <v>0</v>
      </c>
      <c r="H12" s="105"/>
      <c r="I12" s="108"/>
      <c r="J12" s="111"/>
      <c r="K12" s="111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</row>
    <row r="13">
      <c r="A13" s="77" t="s">
        <v>109</v>
      </c>
      <c r="B13" s="126">
        <f>'DISPENDIO Geral Empresa'!B17</f>
        <v>0</v>
      </c>
      <c r="C13" s="84">
        <f t="shared" ref="C13:C14" si="5">B13/$B$21</f>
        <v>0</v>
      </c>
      <c r="D13" s="126">
        <v>0.0</v>
      </c>
      <c r="E13" s="219"/>
      <c r="F13" s="99">
        <f t="shared" ref="F13:F16" si="6">SUM(D13)</f>
        <v>0</v>
      </c>
      <c r="G13" s="102">
        <f>F13/F21</f>
        <v>0</v>
      </c>
      <c r="H13" s="105"/>
      <c r="I13" s="108"/>
      <c r="J13" s="111"/>
      <c r="K13" s="111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>
      <c r="A14" s="77" t="s">
        <v>114</v>
      </c>
      <c r="B14" s="126"/>
      <c r="C14" s="84">
        <f t="shared" si="5"/>
        <v>0</v>
      </c>
      <c r="D14" s="126">
        <v>0.0</v>
      </c>
      <c r="E14" s="219"/>
      <c r="F14" s="99">
        <f t="shared" si="6"/>
        <v>0</v>
      </c>
      <c r="G14" s="102">
        <f>F14/F21</f>
        <v>0</v>
      </c>
      <c r="H14" s="105"/>
      <c r="I14" s="108"/>
      <c r="J14" s="111"/>
      <c r="K14" s="111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>
      <c r="A15" s="77" t="s">
        <v>76</v>
      </c>
      <c r="B15" s="126">
        <v>149853.04</v>
      </c>
      <c r="C15" s="84">
        <v>0.05</v>
      </c>
      <c r="D15" s="126">
        <v>105336.54</v>
      </c>
      <c r="E15" s="219"/>
      <c r="F15" s="99">
        <f t="shared" si="6"/>
        <v>105336.54</v>
      </c>
      <c r="G15" s="102"/>
      <c r="H15" s="105"/>
      <c r="I15" s="108"/>
      <c r="J15" s="111"/>
      <c r="K15" s="111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</row>
    <row r="16">
      <c r="A16" s="77" t="s">
        <v>116</v>
      </c>
      <c r="B16" s="126">
        <v>32519.43</v>
      </c>
      <c r="C16" s="84">
        <f t="shared" ref="C16:C18" si="7">B16/$B$21</f>
        <v>0.01085044021</v>
      </c>
      <c r="D16" s="126"/>
      <c r="E16" s="219"/>
      <c r="F16" s="99">
        <f t="shared" si="6"/>
        <v>0</v>
      </c>
      <c r="G16" s="102">
        <f>F16/F21</f>
        <v>0</v>
      </c>
      <c r="H16" s="105"/>
      <c r="I16" s="108"/>
      <c r="J16" s="111"/>
      <c r="K16" s="111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>
      <c r="A17" s="161" t="s">
        <v>80</v>
      </c>
      <c r="B17" s="187">
        <f>SUM(B11,B16,B19,B20)</f>
        <v>2847207.85</v>
      </c>
      <c r="C17" s="192">
        <f t="shared" si="7"/>
        <v>0.9500000015</v>
      </c>
      <c r="D17" s="187">
        <f t="shared" ref="D17:E17" si="8">SUM(D11:D12)</f>
        <v>1234217.99</v>
      </c>
      <c r="E17" s="187">
        <f t="shared" si="8"/>
        <v>0</v>
      </c>
      <c r="F17" s="236">
        <f>F11+F12</f>
        <v>1234217.99</v>
      </c>
      <c r="G17" s="202">
        <f>F17/F21</f>
        <v>0.7314083848</v>
      </c>
      <c r="H17" s="105"/>
      <c r="I17" s="108"/>
      <c r="J17" s="111"/>
      <c r="K17" s="111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>
      <c r="A18" s="240" t="s">
        <v>121</v>
      </c>
      <c r="B18" s="207">
        <f>SUM(B19:B20)</f>
        <v>453235.99</v>
      </c>
      <c r="C18" s="192">
        <f t="shared" si="7"/>
        <v>0.1512268208</v>
      </c>
      <c r="D18" s="187">
        <f t="shared" ref="D18:F18" si="9">SUM(D19:D20)</f>
        <v>453235.99</v>
      </c>
      <c r="E18" s="187">
        <f t="shared" si="9"/>
        <v>0</v>
      </c>
      <c r="F18" s="236">
        <f t="shared" si="9"/>
        <v>453235.99</v>
      </c>
      <c r="G18" s="202">
        <f>F18/F21</f>
        <v>0.2685916152</v>
      </c>
      <c r="H18" s="105"/>
      <c r="I18" s="108"/>
      <c r="J18" s="111"/>
      <c r="K18" s="111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>
      <c r="A19" s="77" t="s">
        <v>83</v>
      </c>
      <c r="B19" s="134">
        <v>377878.77</v>
      </c>
      <c r="C19" s="84">
        <f>B19/B21</f>
        <v>0.126083114</v>
      </c>
      <c r="D19" s="249">
        <v>377878.77</v>
      </c>
      <c r="E19" s="250"/>
      <c r="F19" s="99">
        <f t="shared" ref="F19:F20" si="10">SUM(D19)</f>
        <v>377878.77</v>
      </c>
      <c r="G19" s="102">
        <f>F19/F21</f>
        <v>0.2239342669</v>
      </c>
      <c r="H19" s="105"/>
      <c r="I19" s="108"/>
      <c r="J19" s="111"/>
      <c r="K19" s="111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</row>
    <row r="20">
      <c r="A20" s="254" t="s">
        <v>84</v>
      </c>
      <c r="B20" s="134">
        <v>75357.22</v>
      </c>
      <c r="C20" s="84">
        <f>B20/$B$21</f>
        <v>0.02514370671</v>
      </c>
      <c r="D20" s="249">
        <v>75357.22</v>
      </c>
      <c r="E20" s="250"/>
      <c r="F20" s="99">
        <f t="shared" si="10"/>
        <v>75357.22</v>
      </c>
      <c r="G20" s="102">
        <f>F20/F21</f>
        <v>0.04465734823</v>
      </c>
      <c r="H20" s="105"/>
      <c r="I20" s="108"/>
      <c r="J20" s="111"/>
      <c r="K20" s="111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</row>
    <row r="21" ht="15.75" customHeight="1">
      <c r="A21" s="261" t="s">
        <v>130</v>
      </c>
      <c r="B21" s="264">
        <f t="shared" ref="B21:C21" si="11">B17+B15</f>
        <v>2997060.89</v>
      </c>
      <c r="C21" s="265">
        <f t="shared" si="11"/>
        <v>1.000000002</v>
      </c>
      <c r="D21" s="268">
        <f>SUM(D17,D18)</f>
        <v>1687453.98</v>
      </c>
      <c r="E21" s="269"/>
      <c r="F21" s="274">
        <f t="shared" ref="F21:G21" si="12">F17+F18</f>
        <v>1687453.98</v>
      </c>
      <c r="G21" s="275">
        <f t="shared" si="12"/>
        <v>1</v>
      </c>
      <c r="H21" s="105"/>
      <c r="I21" s="108"/>
      <c r="J21" s="111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</row>
    <row r="22" ht="15.75" customHeight="1">
      <c r="A22" s="277"/>
      <c r="B22" s="277"/>
      <c r="C22" s="277"/>
      <c r="D22" s="277"/>
      <c r="E22" s="277"/>
      <c r="F22" s="277"/>
      <c r="G22" s="277"/>
      <c r="H22" s="277"/>
      <c r="I22" s="277"/>
      <c r="J22" s="277"/>
      <c r="K22" s="280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</row>
    <row r="23" ht="15.75" customHeight="1">
      <c r="A23" s="277"/>
      <c r="B23" s="282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</row>
    <row r="24" ht="15.75" customHeight="1">
      <c r="A24" s="277"/>
      <c r="B24" s="277"/>
      <c r="C24" s="277"/>
      <c r="D24" s="284"/>
      <c r="E24" s="284"/>
      <c r="F24" s="287"/>
      <c r="G24" s="288"/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</row>
    <row r="25" ht="15.75" customHeight="1">
      <c r="A25" s="277"/>
      <c r="B25" s="277"/>
      <c r="C25" s="277"/>
      <c r="D25" s="290"/>
      <c r="E25" s="290"/>
      <c r="F25" s="287"/>
      <c r="G25" s="288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</row>
    <row r="26" ht="15.75" customHeight="1">
      <c r="A26" s="277"/>
      <c r="B26" s="277"/>
      <c r="C26" s="277"/>
      <c r="D26" s="291"/>
      <c r="E26" s="291"/>
      <c r="F26" s="290"/>
      <c r="G26" s="288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</row>
    <row r="27" ht="15.75" customHeight="1">
      <c r="A27" s="277"/>
      <c r="B27" s="277"/>
      <c r="C27" s="277"/>
      <c r="D27" s="291"/>
      <c r="E27" s="291"/>
      <c r="F27" s="287"/>
      <c r="G27" s="288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</row>
    <row r="28" ht="15.75" customHeight="1">
      <c r="A28" s="277"/>
      <c r="B28" s="277"/>
      <c r="C28" s="277"/>
      <c r="D28" s="291"/>
      <c r="E28" s="291"/>
      <c r="F28" s="294"/>
      <c r="G28" s="288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</row>
    <row r="29" ht="15.75" customHeight="1">
      <c r="A29" s="277"/>
      <c r="B29" s="277"/>
      <c r="C29" s="277"/>
      <c r="D29" s="295"/>
      <c r="E29" s="295"/>
      <c r="F29" s="288"/>
      <c r="G29" s="288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</row>
    <row r="30" ht="15.75" customHeight="1">
      <c r="A30" s="277"/>
      <c r="B30" s="277"/>
      <c r="C30" s="277"/>
      <c r="D30" s="288"/>
      <c r="E30" s="288"/>
      <c r="F30" s="299"/>
      <c r="G30" s="288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</row>
    <row r="31" ht="15.75" customHeight="1">
      <c r="A31" s="277"/>
      <c r="B31" s="277"/>
      <c r="C31" s="277"/>
      <c r="D31" s="302"/>
      <c r="E31" s="302"/>
      <c r="F31" s="294"/>
      <c r="G31" s="288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</row>
    <row r="32" ht="15.75" customHeight="1">
      <c r="A32" s="277"/>
      <c r="B32" s="277"/>
      <c r="C32" s="277"/>
      <c r="D32" s="294"/>
      <c r="E32" s="294"/>
      <c r="F32" s="288"/>
      <c r="G32" s="288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</row>
    <row r="33" ht="15.75" customHeight="1">
      <c r="A33" s="277"/>
      <c r="B33" s="277"/>
      <c r="C33" s="277"/>
      <c r="D33" s="302"/>
      <c r="E33" s="302"/>
      <c r="F33" s="290"/>
      <c r="G33" s="288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</row>
    <row r="34" ht="15.75" customHeight="1">
      <c r="A34" s="277"/>
      <c r="B34" s="277"/>
      <c r="C34" s="277"/>
      <c r="D34" s="288"/>
      <c r="E34" s="288"/>
      <c r="F34" s="299"/>
      <c r="G34" s="288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</row>
    <row r="35" ht="15.75" customHeight="1">
      <c r="A35" s="277"/>
      <c r="B35" s="277"/>
      <c r="C35" s="277"/>
      <c r="D35" s="288"/>
      <c r="E35" s="288"/>
      <c r="F35" s="288"/>
      <c r="G35" s="288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</row>
    <row r="36" ht="15.75" customHeight="1">
      <c r="A36" s="277"/>
      <c r="B36" s="277"/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</row>
    <row r="37" ht="15.75" customHeight="1">
      <c r="A37" s="277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</row>
    <row r="38" ht="15.75" customHeight="1">
      <c r="A38" s="277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</row>
    <row r="39" ht="15.75" customHeight="1">
      <c r="A39" s="277"/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</row>
    <row r="40" ht="15.75" customHeight="1">
      <c r="A40" s="277"/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</row>
    <row r="41" ht="15.75" customHeight="1">
      <c r="A41" s="277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</row>
    <row r="42" ht="15.75" customHeight="1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</row>
    <row r="43" ht="15.75" customHeight="1">
      <c r="A43" s="277"/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</row>
    <row r="44" ht="15.75" customHeight="1">
      <c r="A44" s="277"/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</row>
    <row r="45" ht="15.75" customHeight="1">
      <c r="A45" s="277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</row>
    <row r="46" ht="15.75" customHeight="1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</row>
    <row r="47" ht="15.75" customHeight="1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</row>
    <row r="48" ht="15.75" customHeight="1">
      <c r="A48" s="277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</row>
    <row r="49" ht="15.75" customHeight="1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</row>
    <row r="50" ht="15.75" customHeight="1">
      <c r="A50" s="277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</row>
    <row r="51" ht="15.75" customHeight="1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</row>
    <row r="52" ht="15.75" customHeight="1">
      <c r="A52" s="277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</row>
    <row r="53" ht="15.75" customHeight="1">
      <c r="A53" s="277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</row>
    <row r="54" ht="15.75" customHeight="1">
      <c r="A54" s="277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</row>
    <row r="55" ht="15.75" customHeight="1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</row>
    <row r="56" ht="15.75" customHeight="1">
      <c r="A56" s="277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</row>
    <row r="57" ht="15.75" customHeight="1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</row>
    <row r="58" ht="15.75" customHeight="1">
      <c r="A58" s="277"/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</row>
    <row r="59" ht="15.75" customHeight="1">
      <c r="A59" s="277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</row>
    <row r="60" ht="15.75" customHeight="1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</row>
    <row r="61" ht="15.75" customHeight="1">
      <c r="A61" s="277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</row>
    <row r="62" ht="15.75" customHeight="1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</row>
    <row r="63" ht="15.75" customHeight="1">
      <c r="A63" s="277"/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</row>
    <row r="64" ht="15.75" customHeight="1">
      <c r="A64" s="277"/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</row>
    <row r="65" ht="15.75" customHeight="1">
      <c r="A65" s="277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</row>
    <row r="66" ht="15.75" customHeight="1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</row>
    <row r="67" ht="15.75" customHeight="1">
      <c r="A67" s="277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</row>
    <row r="68" ht="15.75" customHeight="1">
      <c r="A68" s="277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</row>
    <row r="69" ht="15.75" customHeight="1">
      <c r="A69" s="277"/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</row>
    <row r="70" ht="15.75" customHeight="1">
      <c r="A70" s="277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</row>
    <row r="71" ht="15.75" customHeight="1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</row>
    <row r="72" ht="15.75" customHeight="1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</row>
    <row r="73" ht="15.75" customHeight="1">
      <c r="A73" s="277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</row>
    <row r="74" ht="15.75" customHeight="1">
      <c r="A74" s="277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</row>
    <row r="75" ht="15.75" customHeight="1">
      <c r="A75" s="277"/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</row>
    <row r="76" ht="15.75" customHeight="1">
      <c r="A76" s="277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</row>
    <row r="77" ht="15.75" customHeight="1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</row>
    <row r="78" ht="15.75" customHeight="1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</row>
    <row r="79" ht="15.75" customHeight="1">
      <c r="A79" s="277"/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</row>
    <row r="80" ht="15.75" customHeight="1">
      <c r="A80" s="277"/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</row>
    <row r="81" ht="15.75" customHeight="1">
      <c r="A81" s="277"/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</row>
    <row r="82" ht="15.75" customHeight="1">
      <c r="A82" s="277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</row>
    <row r="83" ht="15.75" customHeight="1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</row>
    <row r="84" ht="15.75" customHeight="1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</row>
    <row r="85" ht="15.75" customHeight="1">
      <c r="A85" s="277"/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</row>
    <row r="86" ht="15.75" customHeight="1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</row>
    <row r="87" ht="15.75" customHeight="1">
      <c r="A87" s="277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</row>
    <row r="88" ht="15.75" customHeight="1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</row>
    <row r="89" ht="15.75" customHeight="1">
      <c r="A89" s="277"/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</row>
    <row r="90" ht="15.75" customHeight="1">
      <c r="A90" s="277"/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</row>
    <row r="91" ht="15.75" customHeight="1">
      <c r="A91" s="277"/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</row>
    <row r="92" ht="15.75" customHeight="1">
      <c r="A92" s="277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</row>
    <row r="93" ht="15.75" customHeight="1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</row>
    <row r="94" ht="15.75" customHeight="1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</row>
    <row r="95" ht="15.75" customHeight="1">
      <c r="A95" s="277"/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</row>
    <row r="96" ht="15.75" customHeight="1">
      <c r="A96" s="277"/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</row>
    <row r="97" ht="15.75" customHeight="1">
      <c r="A97" s="277"/>
      <c r="B97" s="277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</row>
    <row r="98" ht="15.75" customHeight="1">
      <c r="A98" s="277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</row>
    <row r="99" ht="15.75" customHeight="1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</row>
    <row r="100" ht="15.75" customHeight="1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</row>
    <row r="101" ht="15.75" customHeight="1">
      <c r="A101" s="277"/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</row>
    <row r="102" ht="15.75" customHeight="1">
      <c r="A102" s="277"/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</row>
    <row r="103" ht="15.75" customHeight="1">
      <c r="A103" s="277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</row>
    <row r="104" ht="15.75" customHeight="1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</row>
    <row r="105" ht="15.75" customHeight="1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</row>
    <row r="106" ht="15.75" customHeight="1">
      <c r="A106" s="277"/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</row>
    <row r="107" ht="15.75" customHeight="1">
      <c r="A107" s="277"/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</row>
    <row r="108" ht="15.75" customHeight="1">
      <c r="A108" s="277"/>
      <c r="B108" s="277"/>
      <c r="C108" s="277"/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</row>
    <row r="109" ht="15.75" customHeight="1">
      <c r="A109" s="277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</row>
    <row r="110" ht="15.75" customHeight="1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</row>
    <row r="111" ht="15.75" customHeight="1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</row>
    <row r="112" ht="15.75" customHeight="1">
      <c r="A112" s="277"/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</row>
    <row r="113" ht="15.75" customHeight="1">
      <c r="A113" s="277"/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</row>
    <row r="114" ht="15.75" customHeight="1">
      <c r="A114" s="277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</row>
    <row r="115" ht="15.75" customHeight="1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</row>
    <row r="116" ht="15.75" customHeight="1">
      <c r="A116" s="277"/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</row>
    <row r="117" ht="15.75" customHeight="1">
      <c r="A117" s="277"/>
      <c r="B117" s="277"/>
      <c r="C117" s="277"/>
      <c r="D117" s="277"/>
      <c r="E117" s="277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</row>
    <row r="118" ht="15.75" customHeight="1">
      <c r="A118" s="277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</row>
    <row r="119" ht="15.75" customHeight="1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</row>
    <row r="120" ht="15.75" customHeight="1">
      <c r="A120" s="277"/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</row>
    <row r="121" ht="15.75" customHeight="1">
      <c r="A121" s="277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</row>
    <row r="122" ht="15.75" customHeight="1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</row>
    <row r="123" ht="15.75" customHeight="1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</row>
    <row r="124" ht="15.75" customHeight="1">
      <c r="A124" s="277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</row>
    <row r="125" ht="15.75" customHeight="1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</row>
    <row r="126" ht="15.75" customHeight="1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</row>
    <row r="127" ht="15.75" customHeight="1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</row>
    <row r="128" ht="15.75" customHeight="1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</row>
    <row r="129" ht="15.75" customHeight="1">
      <c r="A129" s="277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</row>
    <row r="130" ht="15.75" customHeight="1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</row>
    <row r="131" ht="15.75" customHeight="1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</row>
    <row r="132" ht="15.75" customHeight="1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</row>
    <row r="133" ht="15.75" customHeight="1">
      <c r="A133" s="277"/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</row>
    <row r="134" ht="15.75" customHeight="1">
      <c r="A134" s="277"/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</row>
    <row r="135" ht="15.75" customHeight="1">
      <c r="A135" s="277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</row>
    <row r="136" ht="15.75" customHeight="1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</row>
    <row r="137" ht="15.75" customHeight="1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</row>
    <row r="138" ht="15.75" customHeight="1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</row>
    <row r="139" ht="15.75" customHeight="1">
      <c r="A139" s="277"/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</row>
    <row r="140" ht="15.75" customHeight="1">
      <c r="A140" s="277"/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</row>
    <row r="141" ht="15.75" customHeight="1">
      <c r="A141" s="277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</row>
    <row r="142" ht="15.75" customHeight="1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</row>
    <row r="143" ht="15.75" customHeight="1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</row>
    <row r="144" ht="15.75" customHeight="1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</row>
    <row r="145" ht="15.75" customHeight="1">
      <c r="A145" s="277"/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</row>
    <row r="146" ht="15.75" customHeight="1">
      <c r="A146" s="277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</row>
    <row r="147" ht="15.75" customHeight="1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</row>
    <row r="148" ht="15.75" customHeight="1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</row>
    <row r="149" ht="15.75" customHeight="1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</row>
    <row r="150" ht="15.75" customHeight="1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</row>
    <row r="151" ht="15.75" customHeight="1">
      <c r="A151" s="277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</row>
    <row r="152" ht="15.75" customHeight="1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</row>
    <row r="153" ht="15.75" customHeight="1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</row>
    <row r="154" ht="15.75" customHeight="1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</row>
    <row r="155" ht="15.75" customHeight="1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</row>
    <row r="156" ht="15.75" customHeight="1">
      <c r="A156" s="277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</row>
    <row r="157" ht="15.75" customHeight="1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</row>
    <row r="158" ht="15.75" customHeight="1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</row>
    <row r="159" ht="15.75" customHeight="1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</row>
    <row r="160" ht="15.75" customHeight="1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</row>
    <row r="161" ht="15.75" customHeight="1">
      <c r="A161" s="277"/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</row>
    <row r="162" ht="15.75" customHeight="1">
      <c r="A162" s="277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</row>
    <row r="163" ht="15.75" customHeight="1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</row>
    <row r="164" ht="15.75" customHeight="1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</row>
    <row r="165" ht="15.75" customHeight="1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</row>
    <row r="166" ht="15.75" customHeight="1">
      <c r="A166" s="277"/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</row>
    <row r="167" ht="15.75" customHeight="1">
      <c r="A167" s="277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</row>
    <row r="168" ht="15.75" customHeight="1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</row>
    <row r="169" ht="15.75" customHeight="1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</row>
    <row r="170" ht="15.75" customHeight="1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</row>
    <row r="171" ht="15.75" customHeight="1">
      <c r="A171" s="277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</row>
    <row r="172" ht="15.75" customHeight="1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</row>
    <row r="173" ht="15.75" customHeight="1">
      <c r="A173" s="277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</row>
    <row r="174" ht="15.75" customHeight="1">
      <c r="A174" s="277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</row>
    <row r="175" ht="15.75" customHeight="1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</row>
    <row r="176" ht="15.75" customHeight="1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</row>
    <row r="177" ht="15.75" customHeight="1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</row>
    <row r="178" ht="15.75" customHeight="1">
      <c r="A178" s="277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</row>
    <row r="179" ht="15.75" customHeight="1">
      <c r="A179" s="277"/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</row>
    <row r="180" ht="15.75" customHeight="1">
      <c r="A180" s="277"/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</row>
    <row r="181" ht="15.75" customHeight="1">
      <c r="A181" s="277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</row>
    <row r="182" ht="15.75" customHeight="1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</row>
    <row r="183" ht="15.75" customHeight="1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</row>
    <row r="184" ht="15.75" customHeight="1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</row>
    <row r="185" ht="15.75" customHeight="1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</row>
    <row r="186" ht="15.75" customHeight="1">
      <c r="A186" s="277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</row>
    <row r="187" ht="15.75" customHeight="1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</row>
    <row r="188" ht="15.75" customHeight="1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</row>
    <row r="189" ht="15.75" customHeight="1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</row>
    <row r="190" ht="15.75" customHeight="1">
      <c r="A190" s="277"/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</row>
    <row r="191" ht="15.75" customHeight="1">
      <c r="A191" s="277"/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</row>
    <row r="192" ht="15.75" customHeight="1">
      <c r="A192" s="277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</row>
    <row r="193" ht="15.75" customHeight="1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</row>
    <row r="194" ht="15.75" customHeight="1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</row>
    <row r="195" ht="15.75" customHeight="1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</row>
    <row r="196" ht="15.75" customHeight="1">
      <c r="A196" s="277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</row>
    <row r="197" ht="15.75" customHeight="1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</row>
    <row r="198" ht="15.75" customHeight="1">
      <c r="A198" s="277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</row>
    <row r="199" ht="15.75" customHeight="1">
      <c r="A199" s="277"/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</row>
    <row r="200" ht="15.75" customHeight="1">
      <c r="A200" s="277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</row>
    <row r="201" ht="15.75" customHeight="1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</row>
    <row r="202" ht="15.75" customHeight="1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</row>
    <row r="203" ht="15.75" customHeight="1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</row>
    <row r="204" ht="15.75" customHeight="1">
      <c r="A204" s="277"/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</row>
    <row r="205" ht="15.75" customHeight="1">
      <c r="A205" s="277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</row>
    <row r="206" ht="15.75" customHeight="1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</row>
    <row r="207" ht="15.75" customHeight="1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</row>
    <row r="208" ht="15.75" customHeight="1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</row>
    <row r="209" ht="15.75" customHeight="1">
      <c r="A209" s="277"/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</row>
    <row r="210" ht="15.75" customHeight="1">
      <c r="A210" s="277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</row>
    <row r="211" ht="15.75" customHeight="1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</row>
    <row r="212" ht="15.75" customHeight="1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</row>
    <row r="213" ht="15.75" customHeight="1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</row>
    <row r="214" ht="15.75" customHeight="1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</row>
    <row r="215" ht="15.75" customHeight="1">
      <c r="A215" s="277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</row>
    <row r="216" ht="15.75" customHeight="1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</row>
    <row r="217" ht="15.75" customHeight="1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</row>
    <row r="218" ht="15.75" customHeight="1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</row>
    <row r="219" ht="15.75" customHeight="1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</row>
    <row r="220" ht="15.75" customHeight="1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</row>
    <row r="221" ht="15.75" customHeight="1">
      <c r="A221" s="277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</row>
    <row r="222" ht="15.75" customHeight="1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</row>
    <row r="223" ht="15.75" customHeight="1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</row>
    <row r="224" ht="15.75" customHeight="1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</row>
    <row r="225" ht="15.75" customHeight="1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</row>
    <row r="226" ht="15.75" customHeight="1">
      <c r="A226" s="277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</row>
    <row r="227" ht="15.75" customHeight="1">
      <c r="A227" s="277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</row>
    <row r="228" ht="15.75" customHeight="1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</row>
    <row r="229" ht="15.75" customHeight="1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</row>
    <row r="230" ht="15.75" customHeight="1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</row>
    <row r="231" ht="15.75" customHeight="1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</row>
    <row r="232" ht="15.75" customHeight="1">
      <c r="A232" s="277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</row>
    <row r="233" ht="15.75" customHeight="1">
      <c r="A233" s="277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4"/>
    <mergeCell ref="A2:H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3" width="14.43"/>
    <col customWidth="1" min="4" max="4" width="20.43"/>
    <col customWidth="1" min="5" max="5" width="20.0"/>
    <col customWidth="1" min="6" max="6" width="17.0"/>
    <col customWidth="1" min="7" max="7" width="22.14"/>
    <col customWidth="1" min="8" max="8" width="13.43"/>
    <col customWidth="1" min="9" max="9" width="35.14"/>
    <col customWidth="1" min="10" max="11" width="24.14"/>
    <col customWidth="1" min="12" max="12" width="15.71"/>
    <col customWidth="1" min="13" max="13" width="16.86"/>
  </cols>
  <sheetData>
    <row r="1">
      <c r="A1" s="1"/>
      <c r="B1" s="3"/>
      <c r="C1" s="4"/>
      <c r="D1" s="3"/>
      <c r="E1" s="4"/>
      <c r="F1" s="4"/>
      <c r="G1" s="4"/>
      <c r="H1" s="4"/>
      <c r="I1" s="4"/>
      <c r="J1" s="3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1"/>
      <c r="B2" s="7"/>
      <c r="C2" s="7"/>
      <c r="D2" s="7"/>
      <c r="E2" s="7"/>
      <c r="F2" s="7"/>
      <c r="G2" s="7"/>
      <c r="H2" s="7"/>
      <c r="I2" s="7"/>
      <c r="J2" s="12"/>
      <c r="K2" s="14"/>
      <c r="L2" s="17"/>
      <c r="M2" s="18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9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8.75" customHeight="1">
      <c r="A4" s="26" t="s">
        <v>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4"/>
      <c r="M4" s="4"/>
      <c r="N4" s="4"/>
      <c r="O4" s="32"/>
      <c r="P4" s="4"/>
      <c r="Q4" s="4"/>
      <c r="R4" s="4"/>
      <c r="S4" s="4"/>
      <c r="T4" s="4"/>
      <c r="U4" s="4"/>
      <c r="V4" s="4"/>
      <c r="W4" s="4"/>
      <c r="X4" s="4"/>
    </row>
    <row r="5">
      <c r="A5" s="35" t="s">
        <v>15</v>
      </c>
      <c r="B5" s="39" t="s">
        <v>18</v>
      </c>
      <c r="C5" s="39" t="s">
        <v>21</v>
      </c>
      <c r="D5" s="42" t="s">
        <v>22</v>
      </c>
      <c r="E5" s="35" t="s">
        <v>24</v>
      </c>
      <c r="F5" s="45" t="s">
        <v>25</v>
      </c>
      <c r="G5" s="45" t="s">
        <v>26</v>
      </c>
      <c r="H5" s="45" t="s">
        <v>27</v>
      </c>
      <c r="I5" s="45" t="s">
        <v>28</v>
      </c>
      <c r="J5" s="39" t="s">
        <v>29</v>
      </c>
      <c r="K5" s="45" t="s">
        <v>30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48" t="s">
        <v>31</v>
      </c>
      <c r="B6" s="49">
        <v>46082.0</v>
      </c>
      <c r="C6" s="50" t="s">
        <v>32</v>
      </c>
      <c r="D6" s="55">
        <f t="shared" ref="D6:E6" si="1">D7+D8+D9+D10+D11+D12+D13</f>
        <v>834817.17</v>
      </c>
      <c r="E6" s="57">
        <f t="shared" si="1"/>
        <v>835137.1</v>
      </c>
      <c r="F6" s="61"/>
      <c r="G6" s="63"/>
      <c r="H6" s="68"/>
      <c r="I6" s="74"/>
      <c r="J6" s="78"/>
      <c r="K6" s="80">
        <v>2026.0</v>
      </c>
      <c r="L6" s="87">
        <f>E6-D6</f>
        <v>319.93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/>
      <c r="B7" s="93">
        <v>46082.0</v>
      </c>
      <c r="C7" s="95" t="s">
        <v>32</v>
      </c>
      <c r="D7" s="97">
        <v>675000.0</v>
      </c>
      <c r="E7" s="98">
        <v>675000.0</v>
      </c>
      <c r="F7" s="101">
        <v>72.0</v>
      </c>
      <c r="G7" s="103">
        <v>46094.0</v>
      </c>
      <c r="H7" s="104">
        <v>1.0</v>
      </c>
      <c r="I7" s="104" t="s">
        <v>61</v>
      </c>
      <c r="J7" s="106">
        <v>3.0</v>
      </c>
      <c r="K7" s="10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1"/>
      <c r="B8" s="93">
        <v>46083.0</v>
      </c>
      <c r="C8" s="95" t="s">
        <v>32</v>
      </c>
      <c r="D8" s="97">
        <v>8900.0</v>
      </c>
      <c r="E8" s="98">
        <v>8900.0</v>
      </c>
      <c r="F8" s="112">
        <v>2229.0</v>
      </c>
      <c r="G8" s="114">
        <v>46097.0</v>
      </c>
      <c r="H8" s="116">
        <v>1.0</v>
      </c>
      <c r="I8" s="116" t="s">
        <v>65</v>
      </c>
      <c r="J8" s="118">
        <v>4.0</v>
      </c>
      <c r="K8" s="1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1"/>
      <c r="B9" s="93">
        <v>46084.0</v>
      </c>
      <c r="C9" s="95" t="s">
        <v>32</v>
      </c>
      <c r="D9" s="123">
        <v>27737.1</v>
      </c>
      <c r="E9" s="125">
        <v>27737.1</v>
      </c>
      <c r="F9" s="127">
        <v>339.0</v>
      </c>
      <c r="G9" s="114">
        <v>46101.0</v>
      </c>
      <c r="H9" s="129">
        <v>6.0</v>
      </c>
      <c r="I9" s="131" t="s">
        <v>67</v>
      </c>
      <c r="J9" s="118">
        <v>4.0</v>
      </c>
      <c r="K9" s="10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1"/>
      <c r="B10" s="93">
        <v>46085.0</v>
      </c>
      <c r="C10" s="95" t="s">
        <v>32</v>
      </c>
      <c r="D10" s="136">
        <v>64200.0</v>
      </c>
      <c r="E10" s="125">
        <v>49907.52</v>
      </c>
      <c r="F10" s="101">
        <v>68.0</v>
      </c>
      <c r="G10" s="114">
        <v>46104.0</v>
      </c>
      <c r="H10" s="129">
        <v>6.0</v>
      </c>
      <c r="I10" s="131" t="s">
        <v>72</v>
      </c>
      <c r="J10" s="118">
        <v>4.0</v>
      </c>
      <c r="K10" s="10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1"/>
      <c r="B11" s="93">
        <v>46086.0</v>
      </c>
      <c r="C11" s="95" t="s">
        <v>32</v>
      </c>
      <c r="D11" s="51"/>
      <c r="E11" s="125">
        <v>14292.48</v>
      </c>
      <c r="F11" s="101">
        <v>68.0</v>
      </c>
      <c r="G11" s="114">
        <v>46104.0</v>
      </c>
      <c r="H11" s="129">
        <v>6.0</v>
      </c>
      <c r="I11" s="131" t="s">
        <v>73</v>
      </c>
      <c r="J11" s="118">
        <v>4.0</v>
      </c>
      <c r="K11" s="10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1"/>
      <c r="B12" s="93">
        <v>46107.0</v>
      </c>
      <c r="C12" s="95" t="s">
        <v>32</v>
      </c>
      <c r="D12" s="141">
        <v>29400.0</v>
      </c>
      <c r="E12" s="125">
        <v>29400.0</v>
      </c>
      <c r="F12" s="101">
        <v>1946.0</v>
      </c>
      <c r="G12" s="114">
        <v>46112.0</v>
      </c>
      <c r="H12" s="129">
        <v>1.0</v>
      </c>
      <c r="I12" s="142" t="s">
        <v>75</v>
      </c>
      <c r="J12" s="118">
        <v>12.0</v>
      </c>
      <c r="K12" s="10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1"/>
      <c r="B13" s="93">
        <v>46087.0</v>
      </c>
      <c r="C13" s="95" t="s">
        <v>32</v>
      </c>
      <c r="D13" s="143">
        <v>29580.07</v>
      </c>
      <c r="E13" s="125">
        <v>29900.0</v>
      </c>
      <c r="F13" s="101">
        <v>178.0</v>
      </c>
      <c r="G13" s="114">
        <v>46105.0</v>
      </c>
      <c r="H13" s="129">
        <v>2.0</v>
      </c>
      <c r="I13" s="129" t="s">
        <v>77</v>
      </c>
      <c r="J13" s="118">
        <v>5.0</v>
      </c>
      <c r="K13" s="107"/>
      <c r="L13" s="4"/>
      <c r="M13" s="14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6" t="s">
        <v>78</v>
      </c>
      <c r="B14" s="151">
        <v>46088.0</v>
      </c>
      <c r="C14" s="50" t="s">
        <v>32</v>
      </c>
      <c r="D14" s="155">
        <f t="shared" ref="D14:E14" si="2">SUM(D15:D27)</f>
        <v>148000</v>
      </c>
      <c r="E14" s="158">
        <f t="shared" si="2"/>
        <v>96609.09</v>
      </c>
      <c r="F14" s="162"/>
      <c r="G14" s="184"/>
      <c r="H14" s="186"/>
      <c r="I14" s="186"/>
      <c r="J14" s="189"/>
      <c r="K14" s="107"/>
      <c r="L14" s="191">
        <f>D14-E14</f>
        <v>51390.91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/>
      <c r="B15" s="93">
        <v>46088.0</v>
      </c>
      <c r="C15" s="95" t="s">
        <v>32</v>
      </c>
      <c r="D15" s="143">
        <v>2745.0</v>
      </c>
      <c r="E15" s="125">
        <v>1199.95</v>
      </c>
      <c r="F15" s="101">
        <v>64363.0</v>
      </c>
      <c r="G15" s="114">
        <v>46106.0</v>
      </c>
      <c r="H15" s="129" t="s">
        <v>97</v>
      </c>
      <c r="I15" s="129" t="s">
        <v>98</v>
      </c>
      <c r="J15" s="118">
        <v>5.0</v>
      </c>
      <c r="K15" s="10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1"/>
      <c r="B16" s="93">
        <v>46089.0</v>
      </c>
      <c r="C16" s="95" t="s">
        <v>32</v>
      </c>
      <c r="D16" s="97">
        <v>67083.94</v>
      </c>
      <c r="E16" s="125">
        <v>61128.81</v>
      </c>
      <c r="F16" s="127">
        <v>39711.0</v>
      </c>
      <c r="G16" s="114">
        <v>46106.0</v>
      </c>
      <c r="H16" s="129">
        <v>1.0</v>
      </c>
      <c r="I16" s="129" t="s">
        <v>99</v>
      </c>
      <c r="J16" s="118">
        <v>6.0</v>
      </c>
      <c r="K16" s="10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1"/>
      <c r="B17" s="93">
        <v>46090.0</v>
      </c>
      <c r="C17" s="95" t="s">
        <v>32</v>
      </c>
      <c r="D17" s="97">
        <v>19800.0</v>
      </c>
      <c r="E17" s="125">
        <v>4413.33</v>
      </c>
      <c r="F17" s="101">
        <v>343.0</v>
      </c>
      <c r="G17" s="114">
        <v>46108.0</v>
      </c>
      <c r="H17" s="129">
        <v>1.0</v>
      </c>
      <c r="I17" s="129" t="s">
        <v>100</v>
      </c>
      <c r="J17" s="118">
        <v>5.0</v>
      </c>
      <c r="K17" s="10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1"/>
      <c r="B18" s="93">
        <v>46091.0</v>
      </c>
      <c r="C18" s="95" t="s">
        <v>32</v>
      </c>
      <c r="D18" s="97">
        <v>12070.95</v>
      </c>
      <c r="E18" s="125">
        <v>13200.0</v>
      </c>
      <c r="F18" s="101">
        <v>179.0</v>
      </c>
      <c r="G18" s="114">
        <v>46111.0</v>
      </c>
      <c r="H18" s="129">
        <v>1.0</v>
      </c>
      <c r="I18" s="129" t="s">
        <v>102</v>
      </c>
      <c r="J18" s="118">
        <v>5.0</v>
      </c>
      <c r="K18" s="10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6"/>
      <c r="B19" s="93">
        <v>46092.0</v>
      </c>
      <c r="C19" s="95" t="s">
        <v>32</v>
      </c>
      <c r="D19" s="97">
        <v>5301.4</v>
      </c>
      <c r="E19" s="197">
        <v>6020.0</v>
      </c>
      <c r="F19" s="101">
        <v>6.0</v>
      </c>
      <c r="G19" s="199">
        <v>46111.0</v>
      </c>
      <c r="H19" s="203">
        <v>1.0</v>
      </c>
      <c r="I19" s="203" t="s">
        <v>103</v>
      </c>
      <c r="J19" s="118">
        <v>5.0</v>
      </c>
      <c r="K19" s="10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5"/>
      <c r="B20" s="93">
        <v>46093.0</v>
      </c>
      <c r="C20" s="95" t="s">
        <v>32</v>
      </c>
      <c r="D20" s="97">
        <v>8398.0</v>
      </c>
      <c r="E20" s="125">
        <v>8398.0</v>
      </c>
      <c r="F20" s="206">
        <v>52367.0</v>
      </c>
      <c r="G20" s="114">
        <v>46111.0</v>
      </c>
      <c r="H20" s="129">
        <v>2.0</v>
      </c>
      <c r="I20" s="129" t="s">
        <v>104</v>
      </c>
      <c r="J20" s="118">
        <v>10.0</v>
      </c>
      <c r="K20" s="10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205"/>
      <c r="B21" s="93">
        <v>46094.0</v>
      </c>
      <c r="C21" s="95" t="s">
        <v>32</v>
      </c>
      <c r="D21" s="97">
        <v>2249.0</v>
      </c>
      <c r="E21" s="208">
        <v>2249.0</v>
      </c>
      <c r="F21" s="206">
        <v>52367.0</v>
      </c>
      <c r="G21" s="114">
        <v>46111.0</v>
      </c>
      <c r="H21" s="129">
        <v>1.0</v>
      </c>
      <c r="I21" s="129" t="s">
        <v>106</v>
      </c>
      <c r="J21" s="118">
        <v>10.0</v>
      </c>
      <c r="K21" s="10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210"/>
      <c r="B22" s="93">
        <v>46095.0</v>
      </c>
      <c r="C22" s="95" t="s">
        <v>32</v>
      </c>
      <c r="D22" s="97">
        <v>4899.0</v>
      </c>
      <c r="E22" s="211" t="s">
        <v>82</v>
      </c>
      <c r="F22" s="101" t="s">
        <v>82</v>
      </c>
      <c r="G22" s="212" t="s">
        <v>82</v>
      </c>
      <c r="H22" s="212" t="s">
        <v>82</v>
      </c>
      <c r="I22" s="214" t="s">
        <v>107</v>
      </c>
      <c r="J22" s="215" t="s">
        <v>82</v>
      </c>
      <c r="K22" s="10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210"/>
      <c r="B23" s="93">
        <v>46096.0</v>
      </c>
      <c r="C23" s="95" t="s">
        <v>32</v>
      </c>
      <c r="D23" s="97">
        <v>9850.0</v>
      </c>
      <c r="E23" s="211" t="s">
        <v>82</v>
      </c>
      <c r="F23" s="101" t="s">
        <v>82</v>
      </c>
      <c r="G23" s="212" t="s">
        <v>82</v>
      </c>
      <c r="H23" s="212" t="s">
        <v>82</v>
      </c>
      <c r="I23" s="214" t="s">
        <v>110</v>
      </c>
      <c r="J23" s="215" t="s">
        <v>82</v>
      </c>
      <c r="K23" s="10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210"/>
      <c r="B24" s="93">
        <v>46107.0</v>
      </c>
      <c r="C24" s="95" t="s">
        <v>32</v>
      </c>
      <c r="D24" s="97">
        <v>2892.23</v>
      </c>
      <c r="E24" s="211" t="s">
        <v>82</v>
      </c>
      <c r="F24" s="101" t="s">
        <v>82</v>
      </c>
      <c r="G24" s="212" t="s">
        <v>82</v>
      </c>
      <c r="H24" s="212" t="s">
        <v>82</v>
      </c>
      <c r="I24" s="216" t="s">
        <v>111</v>
      </c>
      <c r="J24" s="215" t="s">
        <v>82</v>
      </c>
      <c r="K24" s="10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210"/>
      <c r="B25" s="93">
        <v>46107.0</v>
      </c>
      <c r="C25" s="95" t="s">
        <v>32</v>
      </c>
      <c r="D25" s="97">
        <v>7355.45</v>
      </c>
      <c r="E25" s="211" t="s">
        <v>82</v>
      </c>
      <c r="F25" s="101" t="s">
        <v>82</v>
      </c>
      <c r="G25" s="212" t="s">
        <v>82</v>
      </c>
      <c r="H25" s="212" t="s">
        <v>82</v>
      </c>
      <c r="I25" s="216" t="s">
        <v>112</v>
      </c>
      <c r="J25" s="215" t="s">
        <v>82</v>
      </c>
      <c r="K25" s="10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210"/>
      <c r="B26" s="93">
        <v>46097.0</v>
      </c>
      <c r="C26" s="95" t="s">
        <v>32</v>
      </c>
      <c r="D26" s="97">
        <v>4500.0</v>
      </c>
      <c r="E26" s="211" t="s">
        <v>82</v>
      </c>
      <c r="F26" s="101" t="s">
        <v>82</v>
      </c>
      <c r="G26" s="212" t="s">
        <v>82</v>
      </c>
      <c r="H26" s="212" t="s">
        <v>82</v>
      </c>
      <c r="I26" s="214" t="s">
        <v>113</v>
      </c>
      <c r="J26" s="215" t="s">
        <v>82</v>
      </c>
      <c r="K26" s="10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210"/>
      <c r="B27" s="93">
        <v>46098.0</v>
      </c>
      <c r="C27" s="95" t="s">
        <v>32</v>
      </c>
      <c r="D27" s="97">
        <v>855.03</v>
      </c>
      <c r="E27" s="211" t="s">
        <v>82</v>
      </c>
      <c r="F27" s="101" t="s">
        <v>82</v>
      </c>
      <c r="G27" s="212" t="s">
        <v>82</v>
      </c>
      <c r="H27" s="221" t="s">
        <v>82</v>
      </c>
      <c r="I27" s="216" t="s">
        <v>115</v>
      </c>
      <c r="J27" s="215" t="s">
        <v>82</v>
      </c>
      <c r="K27" s="10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223" t="s">
        <v>59</v>
      </c>
      <c r="B28" s="49">
        <v>46168.0</v>
      </c>
      <c r="C28" s="50" t="s">
        <v>32</v>
      </c>
      <c r="D28" s="225">
        <v>1229600.0</v>
      </c>
      <c r="E28" s="158">
        <v>325200.0</v>
      </c>
      <c r="F28" s="162" t="s">
        <v>82</v>
      </c>
      <c r="G28" s="226" t="s">
        <v>82</v>
      </c>
      <c r="H28" s="186" t="s">
        <v>82</v>
      </c>
      <c r="I28" s="227" t="s">
        <v>82</v>
      </c>
      <c r="J28" s="189" t="s">
        <v>82</v>
      </c>
      <c r="K28" s="10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228" t="s">
        <v>70</v>
      </c>
      <c r="B29" s="49">
        <v>46168.0</v>
      </c>
      <c r="C29" s="50" t="s">
        <v>32</v>
      </c>
      <c r="D29" s="229">
        <v>132000.0</v>
      </c>
      <c r="E29" s="230">
        <v>24000.0</v>
      </c>
      <c r="F29" s="162" t="s">
        <v>82</v>
      </c>
      <c r="G29" s="226" t="s">
        <v>82</v>
      </c>
      <c r="H29" s="186" t="s">
        <v>82</v>
      </c>
      <c r="I29" s="227" t="s">
        <v>82</v>
      </c>
      <c r="J29" s="189" t="s">
        <v>82</v>
      </c>
      <c r="K29" s="10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232" t="s">
        <v>62</v>
      </c>
      <c r="B30" s="49">
        <v>46097.0</v>
      </c>
      <c r="C30" s="50" t="s">
        <v>32</v>
      </c>
      <c r="D30" s="155">
        <v>17035.26</v>
      </c>
      <c r="E30" s="233">
        <v>17035.26</v>
      </c>
      <c r="F30" s="162">
        <v>1.0</v>
      </c>
      <c r="G30" s="234">
        <v>46112.0</v>
      </c>
      <c r="H30" s="186">
        <v>10.0</v>
      </c>
      <c r="I30" s="142" t="s">
        <v>117</v>
      </c>
      <c r="J30" s="189">
        <v>9.0</v>
      </c>
      <c r="K30" s="10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232" t="s">
        <v>63</v>
      </c>
      <c r="B31" s="49"/>
      <c r="C31" s="50"/>
      <c r="D31" s="155" t="s">
        <v>82</v>
      </c>
      <c r="E31" s="235" t="s">
        <v>82</v>
      </c>
      <c r="F31" s="162"/>
      <c r="G31" s="234"/>
      <c r="H31" s="186"/>
      <c r="I31" s="142"/>
      <c r="J31" s="189"/>
      <c r="K31" s="10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237" t="s">
        <v>119</v>
      </c>
      <c r="B32" s="49">
        <v>46099.0</v>
      </c>
      <c r="C32" s="50" t="s">
        <v>32</v>
      </c>
      <c r="D32" s="239"/>
      <c r="E32" s="242" t="s">
        <v>82</v>
      </c>
      <c r="F32" s="162" t="s">
        <v>82</v>
      </c>
      <c r="G32" s="226" t="s">
        <v>82</v>
      </c>
      <c r="H32" s="186" t="s">
        <v>82</v>
      </c>
      <c r="I32" s="142" t="s">
        <v>82</v>
      </c>
      <c r="J32" s="189" t="s">
        <v>82</v>
      </c>
      <c r="K32" s="10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243" t="s">
        <v>123</v>
      </c>
      <c r="B33" s="49">
        <v>46100.0</v>
      </c>
      <c r="C33" s="50" t="s">
        <v>32</v>
      </c>
      <c r="D33" s="239" t="s">
        <v>82</v>
      </c>
      <c r="E33" s="242" t="s">
        <v>82</v>
      </c>
      <c r="F33" s="162" t="s">
        <v>82</v>
      </c>
      <c r="G33" s="226" t="s">
        <v>82</v>
      </c>
      <c r="H33" s="186" t="s">
        <v>82</v>
      </c>
      <c r="I33" s="142" t="s">
        <v>82</v>
      </c>
      <c r="J33" s="189" t="s">
        <v>82</v>
      </c>
      <c r="K33" s="10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243" t="s">
        <v>124</v>
      </c>
      <c r="B34" s="49">
        <v>46101.0</v>
      </c>
      <c r="C34" s="245" t="s">
        <v>32</v>
      </c>
      <c r="D34" s="239" t="s">
        <v>82</v>
      </c>
      <c r="E34" s="247" t="s">
        <v>82</v>
      </c>
      <c r="F34" s="162" t="s">
        <v>82</v>
      </c>
      <c r="G34" s="226" t="s">
        <v>82</v>
      </c>
      <c r="H34" s="186" t="s">
        <v>82</v>
      </c>
      <c r="I34" s="142" t="s">
        <v>82</v>
      </c>
      <c r="J34" s="189" t="s">
        <v>82</v>
      </c>
      <c r="K34" s="10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243" t="s">
        <v>125</v>
      </c>
      <c r="B35" s="49">
        <v>46102.0</v>
      </c>
      <c r="C35" s="245" t="s">
        <v>32</v>
      </c>
      <c r="D35" s="248">
        <v>32519.43</v>
      </c>
      <c r="E35" s="247" t="s">
        <v>82</v>
      </c>
      <c r="F35" s="162" t="s">
        <v>82</v>
      </c>
      <c r="G35" s="226" t="s">
        <v>82</v>
      </c>
      <c r="H35" s="186" t="s">
        <v>82</v>
      </c>
      <c r="I35" s="142" t="s">
        <v>82</v>
      </c>
      <c r="J35" s="189" t="s">
        <v>82</v>
      </c>
      <c r="K35" s="10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251" t="s">
        <v>126</v>
      </c>
      <c r="B36" s="49">
        <v>46098.0</v>
      </c>
      <c r="C36" s="50" t="s">
        <v>32</v>
      </c>
      <c r="D36" s="248">
        <v>377878.77</v>
      </c>
      <c r="E36" s="253">
        <v>377878.77</v>
      </c>
      <c r="F36" s="162" t="s">
        <v>82</v>
      </c>
      <c r="G36" s="226" t="s">
        <v>82</v>
      </c>
      <c r="H36" s="186" t="s">
        <v>82</v>
      </c>
      <c r="I36" s="142" t="s">
        <v>82</v>
      </c>
      <c r="J36" s="189" t="s">
        <v>82</v>
      </c>
      <c r="K36" s="10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256" t="s">
        <v>129</v>
      </c>
      <c r="B37" s="49">
        <v>46098.0</v>
      </c>
      <c r="C37" s="50" t="s">
        <v>32</v>
      </c>
      <c r="D37" s="229">
        <v>75357.22</v>
      </c>
      <c r="E37" s="257">
        <v>75357.22</v>
      </c>
      <c r="F37" s="162" t="s">
        <v>82</v>
      </c>
      <c r="G37" s="226" t="s">
        <v>82</v>
      </c>
      <c r="H37" s="186" t="s">
        <v>82</v>
      </c>
      <c r="I37" s="259" t="s">
        <v>82</v>
      </c>
      <c r="J37" s="189" t="s">
        <v>82</v>
      </c>
      <c r="K37" s="10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262" t="s">
        <v>76</v>
      </c>
      <c r="B38" s="151">
        <v>46099.0</v>
      </c>
      <c r="C38" s="50" t="s">
        <v>32</v>
      </c>
      <c r="D38" s="225">
        <v>149853.04</v>
      </c>
      <c r="E38" s="266">
        <f>F76</f>
        <v>124552.458</v>
      </c>
      <c r="F38" s="162" t="s">
        <v>82</v>
      </c>
      <c r="G38" s="267"/>
      <c r="H38" s="186" t="s">
        <v>82</v>
      </c>
      <c r="I38" s="259" t="s">
        <v>82</v>
      </c>
      <c r="J38" s="189" t="s">
        <v>82</v>
      </c>
      <c r="K38" s="10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270" t="s">
        <v>130</v>
      </c>
      <c r="B39" s="272"/>
      <c r="C39" s="273"/>
      <c r="D39" s="276">
        <f t="shared" ref="D39:E39" si="3">SUM(D6,D14,D28:D38)</f>
        <v>2997060.89</v>
      </c>
      <c r="E39" s="276">
        <f t="shared" si="3"/>
        <v>1875769.898</v>
      </c>
      <c r="F39" s="170"/>
      <c r="G39" s="170"/>
      <c r="H39" s="135"/>
      <c r="I39" s="170"/>
      <c r="J39" s="281"/>
      <c r="K39" s="27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"/>
      <c r="B40" s="3"/>
      <c r="C40" s="4"/>
      <c r="D40" s="283"/>
      <c r="E40" s="32"/>
      <c r="F40" s="4"/>
      <c r="G40" s="4"/>
      <c r="H40" s="285"/>
      <c r="I40" s="285"/>
      <c r="J40" s="283"/>
      <c r="K40" s="28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"/>
      <c r="B41" s="3"/>
      <c r="C41" s="4"/>
      <c r="D41" s="3"/>
      <c r="E41" s="289"/>
      <c r="F41" s="4"/>
      <c r="G41" s="32"/>
      <c r="H41" s="4"/>
      <c r="I41" s="4"/>
      <c r="J41" s="283"/>
      <c r="K41" s="28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"/>
      <c r="B42" s="3"/>
      <c r="C42" s="4"/>
      <c r="D42" s="3"/>
      <c r="E42" s="289"/>
      <c r="F42" s="4"/>
      <c r="G42" s="32"/>
      <c r="H42" s="4"/>
      <c r="I42" s="4"/>
      <c r="J42" s="3"/>
      <c r="K42" s="5"/>
      <c r="L42" s="4"/>
      <c r="M42" s="32"/>
      <c r="N42" s="292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293" t="s">
        <v>132</v>
      </c>
      <c r="B43" s="46"/>
      <c r="C43" s="46"/>
      <c r="D43" s="46"/>
      <c r="E43" s="46"/>
      <c r="F43" s="47"/>
      <c r="G43" s="285"/>
      <c r="H43" s="285"/>
      <c r="I43" s="285"/>
      <c r="J43" s="285"/>
      <c r="K43" s="286"/>
      <c r="L43" s="4"/>
      <c r="M43" s="32"/>
      <c r="N43" s="292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296" t="s">
        <v>133</v>
      </c>
      <c r="B44" s="46"/>
      <c r="C44" s="46"/>
      <c r="D44" s="46"/>
      <c r="E44" s="46"/>
      <c r="F44" s="47"/>
      <c r="G44" s="285"/>
      <c r="H44" s="285"/>
      <c r="I44" s="285"/>
      <c r="J44" s="285"/>
      <c r="K44" s="286"/>
      <c r="L44" s="4"/>
      <c r="M44" s="32"/>
      <c r="N44" s="292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297" t="s">
        <v>15</v>
      </c>
      <c r="B45" s="298" t="s">
        <v>18</v>
      </c>
      <c r="C45" s="298" t="s">
        <v>21</v>
      </c>
      <c r="D45" s="298" t="s">
        <v>22</v>
      </c>
      <c r="E45" s="300" t="s">
        <v>134</v>
      </c>
      <c r="F45" s="301" t="s">
        <v>135</v>
      </c>
      <c r="G45" s="303"/>
      <c r="H45" s="303"/>
      <c r="I45" s="303"/>
      <c r="J45" s="303"/>
      <c r="K45" s="304"/>
      <c r="L45" s="4"/>
      <c r="M45" s="285"/>
      <c r="N45" s="292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305">
        <v>1.0</v>
      </c>
      <c r="B46" s="306" t="s">
        <v>136</v>
      </c>
      <c r="C46" s="307"/>
      <c r="D46" s="308">
        <v>0.0</v>
      </c>
      <c r="E46" s="308">
        <v>0.0</v>
      </c>
      <c r="F46" s="309"/>
      <c r="G46" s="4"/>
      <c r="H46" s="4"/>
      <c r="I46" s="4"/>
      <c r="J46" s="4"/>
      <c r="K46" s="5"/>
      <c r="L46" s="4"/>
      <c r="M46" s="285"/>
      <c r="N46" s="292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305">
        <v>2.0</v>
      </c>
      <c r="B47" s="306" t="s">
        <v>137</v>
      </c>
      <c r="C47" s="310"/>
      <c r="D47" s="308">
        <v>0.0</v>
      </c>
      <c r="E47" s="308">
        <v>0.0</v>
      </c>
      <c r="F47" s="309"/>
      <c r="G47" s="4"/>
      <c r="H47" s="4"/>
      <c r="I47" s="4"/>
      <c r="J47" s="4"/>
      <c r="K47" s="5"/>
      <c r="L47" s="4"/>
      <c r="M47" s="303"/>
      <c r="N47" s="292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305">
        <v>3.0</v>
      </c>
      <c r="B48" s="306" t="s">
        <v>138</v>
      </c>
      <c r="C48" s="311"/>
      <c r="D48" s="308">
        <v>0.0</v>
      </c>
      <c r="E48" s="308">
        <v>0.0</v>
      </c>
      <c r="F48" s="309"/>
      <c r="G48" s="4"/>
      <c r="H48" s="4"/>
      <c r="I48" s="4"/>
      <c r="J48" s="4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305">
        <v>4.0</v>
      </c>
      <c r="B49" s="306" t="s">
        <v>139</v>
      </c>
      <c r="C49" s="311"/>
      <c r="D49" s="308">
        <v>0.0</v>
      </c>
      <c r="E49" s="308">
        <v>0.0</v>
      </c>
      <c r="F49" s="309"/>
      <c r="G49" s="4"/>
      <c r="H49" s="4"/>
      <c r="I49" s="4"/>
      <c r="J49" s="4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305">
        <v>5.0</v>
      </c>
      <c r="B50" s="306" t="s">
        <v>140</v>
      </c>
      <c r="C50" s="311"/>
      <c r="D50" s="308">
        <v>0.0</v>
      </c>
      <c r="E50" s="308">
        <v>0.0</v>
      </c>
      <c r="F50" s="309"/>
      <c r="G50" s="4"/>
      <c r="H50" s="4"/>
      <c r="I50" s="4"/>
      <c r="J50" s="4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305">
        <v>6.0</v>
      </c>
      <c r="B51" s="306" t="s">
        <v>141</v>
      </c>
      <c r="C51" s="311"/>
      <c r="D51" s="308">
        <v>0.0</v>
      </c>
      <c r="E51" s="308">
        <v>0.0</v>
      </c>
      <c r="F51" s="312"/>
      <c r="K51" s="3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305">
        <v>7.0</v>
      </c>
      <c r="B52" s="306" t="s">
        <v>142</v>
      </c>
      <c r="C52" s="311"/>
      <c r="D52" s="308">
        <v>0.0</v>
      </c>
      <c r="E52" s="308">
        <v>0.0</v>
      </c>
      <c r="F52" s="312"/>
      <c r="K52" s="3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305">
        <v>8.0</v>
      </c>
      <c r="B53" s="306" t="s">
        <v>143</v>
      </c>
      <c r="C53" s="311"/>
      <c r="D53" s="308">
        <v>0.0</v>
      </c>
      <c r="E53" s="308">
        <v>0.0</v>
      </c>
      <c r="F53" s="312"/>
      <c r="K53" s="31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305">
        <v>9.0</v>
      </c>
      <c r="B54" s="306" t="s">
        <v>144</v>
      </c>
      <c r="C54" s="311"/>
      <c r="D54" s="308">
        <v>0.0</v>
      </c>
      <c r="E54" s="308">
        <v>0.0</v>
      </c>
      <c r="F54" s="312"/>
      <c r="K54" s="31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305">
        <v>10.0</v>
      </c>
      <c r="B55" s="306" t="s">
        <v>145</v>
      </c>
      <c r="C55" s="311"/>
      <c r="D55" s="308">
        <v>0.0</v>
      </c>
      <c r="E55" s="308">
        <v>0.0</v>
      </c>
      <c r="F55" s="312"/>
      <c r="K55" s="3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305">
        <v>11.0</v>
      </c>
      <c r="B56" s="306" t="s">
        <v>146</v>
      </c>
      <c r="C56" s="311"/>
      <c r="D56" s="308">
        <v>0.0</v>
      </c>
      <c r="E56" s="308">
        <v>0.0</v>
      </c>
      <c r="F56" s="312"/>
      <c r="K56" s="3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305">
        <v>12.0</v>
      </c>
      <c r="B57" s="306" t="s">
        <v>147</v>
      </c>
      <c r="C57" s="311"/>
      <c r="D57" s="308">
        <v>0.0</v>
      </c>
      <c r="E57" s="308">
        <v>0.0</v>
      </c>
      <c r="F57" s="312"/>
      <c r="K57" s="31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314" t="s">
        <v>130</v>
      </c>
      <c r="B58" s="46"/>
      <c r="C58" s="47"/>
      <c r="D58" s="315">
        <f t="shared" ref="D58:F58" si="4">SUM(D48)</f>
        <v>0</v>
      </c>
      <c r="E58" s="316">
        <f t="shared" si="4"/>
        <v>0</v>
      </c>
      <c r="F58" s="316">
        <f t="shared" si="4"/>
        <v>0</v>
      </c>
      <c r="K58" s="3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1"/>
      <c r="B59" s="283"/>
      <c r="C59" s="4"/>
      <c r="D59" s="3"/>
      <c r="E59" s="4"/>
      <c r="F59" s="4"/>
      <c r="G59" s="4"/>
      <c r="H59" s="317"/>
      <c r="I59" s="317"/>
      <c r="J59" s="3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318"/>
      <c r="B60" s="319"/>
      <c r="C60" s="319"/>
      <c r="D60" s="319"/>
      <c r="E60" s="319"/>
      <c r="F60" s="319"/>
      <c r="G60" s="319"/>
      <c r="H60" s="319"/>
      <c r="I60" s="319"/>
      <c r="J60" s="319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320" t="s">
        <v>148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321" t="s">
        <v>9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322" t="s">
        <v>15</v>
      </c>
      <c r="B63" s="323" t="s">
        <v>18</v>
      </c>
      <c r="C63" s="323" t="s">
        <v>21</v>
      </c>
      <c r="D63" s="323" t="s">
        <v>22</v>
      </c>
      <c r="E63" s="322" t="s">
        <v>134</v>
      </c>
      <c r="F63" s="323" t="s">
        <v>76</v>
      </c>
      <c r="G63" s="323" t="s">
        <v>149</v>
      </c>
      <c r="H63" s="323" t="s">
        <v>150</v>
      </c>
      <c r="I63" s="323" t="s">
        <v>26</v>
      </c>
      <c r="J63" s="323" t="s">
        <v>151</v>
      </c>
      <c r="K63" s="324" t="s">
        <v>30</v>
      </c>
      <c r="L63" s="324" t="s">
        <v>135</v>
      </c>
      <c r="M63" s="324" t="s">
        <v>19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325">
        <v>1.0</v>
      </c>
      <c r="B64" s="326">
        <v>46054.0</v>
      </c>
      <c r="C64" s="327" t="s">
        <v>152</v>
      </c>
      <c r="D64" s="328">
        <v>908200.27</v>
      </c>
      <c r="E64" s="329">
        <f t="shared" ref="E64:E66" si="5">D64</f>
        <v>908200.27</v>
      </c>
      <c r="F64" s="329">
        <f t="shared" ref="F64:F75" si="6">E64*5%</f>
        <v>45410.0135</v>
      </c>
      <c r="G64" s="329">
        <f t="shared" ref="G64:G75" si="7">E64-F64</f>
        <v>862790.2565</v>
      </c>
      <c r="H64" s="330">
        <v>39.0</v>
      </c>
      <c r="I64" s="331">
        <v>46078.0</v>
      </c>
      <c r="J64" s="331">
        <v>46085.0</v>
      </c>
      <c r="K64" s="332">
        <v>2025.0</v>
      </c>
      <c r="L64" s="333" t="s">
        <v>82</v>
      </c>
      <c r="M64" s="206" t="s">
        <v>82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325">
        <v>2.0</v>
      </c>
      <c r="B65" s="326">
        <v>46082.0</v>
      </c>
      <c r="C65" s="327" t="s">
        <v>153</v>
      </c>
      <c r="D65" s="328">
        <v>749265.22</v>
      </c>
      <c r="E65" s="329">
        <f t="shared" si="5"/>
        <v>749265.22</v>
      </c>
      <c r="F65" s="329">
        <f t="shared" si="6"/>
        <v>37463.261</v>
      </c>
      <c r="G65" s="329">
        <f t="shared" si="7"/>
        <v>711801.959</v>
      </c>
      <c r="H65" s="330">
        <v>46.0</v>
      </c>
      <c r="I65" s="331">
        <v>46094.0</v>
      </c>
      <c r="J65" s="331">
        <v>46107.0</v>
      </c>
      <c r="K65" s="334"/>
      <c r="L65" s="333" t="s">
        <v>82</v>
      </c>
      <c r="M65" s="206" t="s">
        <v>82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335">
        <v>3.0</v>
      </c>
      <c r="B66" s="336">
        <v>46082.0</v>
      </c>
      <c r="C66" s="337" t="s">
        <v>154</v>
      </c>
      <c r="D66" s="338">
        <v>449265.22</v>
      </c>
      <c r="E66" s="339">
        <f t="shared" si="5"/>
        <v>449265.22</v>
      </c>
      <c r="F66" s="340">
        <f t="shared" si="6"/>
        <v>22463.261</v>
      </c>
      <c r="G66" s="339">
        <f t="shared" si="7"/>
        <v>426801.959</v>
      </c>
      <c r="H66" s="341">
        <v>47.0</v>
      </c>
      <c r="I66" s="342">
        <v>46094.0</v>
      </c>
      <c r="J66" s="342">
        <v>46100.0</v>
      </c>
      <c r="K66" s="343"/>
      <c r="L66" s="344">
        <v>1842.49</v>
      </c>
      <c r="M66" s="345">
        <v>1842.49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346">
        <v>4.0</v>
      </c>
      <c r="B67" s="347">
        <v>46136.0</v>
      </c>
      <c r="C67" s="348" t="s">
        <v>155</v>
      </c>
      <c r="D67" s="349">
        <v>168670.58</v>
      </c>
      <c r="E67" s="350">
        <v>168670.58</v>
      </c>
      <c r="F67" s="351">
        <f t="shared" si="6"/>
        <v>8433.529</v>
      </c>
      <c r="G67" s="350">
        <f t="shared" si="7"/>
        <v>160237.051</v>
      </c>
      <c r="H67" s="352">
        <v>57.0</v>
      </c>
      <c r="I67" s="353">
        <v>46128.0</v>
      </c>
      <c r="J67" s="342">
        <v>46141.0</v>
      </c>
      <c r="K67" s="354">
        <v>2026.0</v>
      </c>
      <c r="L67" s="344">
        <v>3465.5</v>
      </c>
      <c r="M67" s="345">
        <v>5307.99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346">
        <v>5.0</v>
      </c>
      <c r="B68" s="347">
        <v>46164.0</v>
      </c>
      <c r="C68" s="348" t="s">
        <v>156</v>
      </c>
      <c r="D68" s="349">
        <f>168670.58+I81</f>
        <v>168670.58</v>
      </c>
      <c r="E68" s="350">
        <v>215647.87</v>
      </c>
      <c r="F68" s="351">
        <f t="shared" si="6"/>
        <v>10782.3935</v>
      </c>
      <c r="G68" s="350">
        <f t="shared" si="7"/>
        <v>204865.4765</v>
      </c>
      <c r="H68" s="352">
        <v>70.0</v>
      </c>
      <c r="I68" s="353">
        <v>46162.0</v>
      </c>
      <c r="J68" s="342">
        <v>46170.0</v>
      </c>
      <c r="K68" s="334"/>
      <c r="L68" s="344">
        <v>2973.93</v>
      </c>
      <c r="M68" s="345">
        <v>8281.92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325">
        <v>6.0</v>
      </c>
      <c r="B69" s="326">
        <v>46198.0</v>
      </c>
      <c r="C69" s="327" t="s">
        <v>157</v>
      </c>
      <c r="D69" s="329">
        <v>168670.58</v>
      </c>
      <c r="E69" s="355">
        <v>0.0</v>
      </c>
      <c r="F69" s="356">
        <f t="shared" si="6"/>
        <v>0</v>
      </c>
      <c r="G69" s="355">
        <f t="shared" si="7"/>
        <v>0</v>
      </c>
      <c r="H69" s="357"/>
      <c r="I69" s="358"/>
      <c r="J69" s="309"/>
      <c r="K69" s="334"/>
      <c r="L69" s="344">
        <v>3234.32</v>
      </c>
      <c r="M69" s="345">
        <v>11516.24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325">
        <v>7.0</v>
      </c>
      <c r="B70" s="326">
        <v>46226.0</v>
      </c>
      <c r="C70" s="327" t="s">
        <v>158</v>
      </c>
      <c r="D70" s="329">
        <v>168670.58</v>
      </c>
      <c r="E70" s="329">
        <v>0.0</v>
      </c>
      <c r="F70" s="359">
        <f t="shared" si="6"/>
        <v>0</v>
      </c>
      <c r="G70" s="329">
        <f t="shared" si="7"/>
        <v>0</v>
      </c>
      <c r="H70" s="309"/>
      <c r="I70" s="360"/>
      <c r="J70" s="309"/>
      <c r="K70" s="334"/>
      <c r="L70" s="361"/>
      <c r="M70" s="36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325">
        <v>8.0</v>
      </c>
      <c r="B71" s="326">
        <v>46261.0</v>
      </c>
      <c r="C71" s="327" t="s">
        <v>159</v>
      </c>
      <c r="D71" s="329">
        <v>168670.58</v>
      </c>
      <c r="E71" s="329">
        <v>0.0</v>
      </c>
      <c r="F71" s="359">
        <f t="shared" si="6"/>
        <v>0</v>
      </c>
      <c r="G71" s="329">
        <f t="shared" si="7"/>
        <v>0</v>
      </c>
      <c r="H71" s="309"/>
      <c r="I71" s="360"/>
      <c r="J71" s="309"/>
      <c r="K71" s="334"/>
      <c r="L71" s="361"/>
      <c r="M71" s="36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325">
        <v>9.0</v>
      </c>
      <c r="B72" s="326">
        <v>46289.0</v>
      </c>
      <c r="C72" s="327" t="s">
        <v>160</v>
      </c>
      <c r="D72" s="329">
        <v>258000.0</v>
      </c>
      <c r="E72" s="329">
        <v>0.0</v>
      </c>
      <c r="F72" s="359">
        <f t="shared" si="6"/>
        <v>0</v>
      </c>
      <c r="G72" s="329">
        <f t="shared" si="7"/>
        <v>0</v>
      </c>
      <c r="H72" s="309"/>
      <c r="I72" s="360"/>
      <c r="J72" s="309"/>
      <c r="K72" s="334"/>
      <c r="L72" s="361"/>
      <c r="M72" s="36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325">
        <v>10.0</v>
      </c>
      <c r="B73" s="326">
        <v>46317.0</v>
      </c>
      <c r="C73" s="327" t="s">
        <v>161</v>
      </c>
      <c r="D73" s="329">
        <v>0.0</v>
      </c>
      <c r="E73" s="329">
        <v>0.0</v>
      </c>
      <c r="F73" s="359">
        <f t="shared" si="6"/>
        <v>0</v>
      </c>
      <c r="G73" s="329">
        <f t="shared" si="7"/>
        <v>0</v>
      </c>
      <c r="H73" s="309"/>
      <c r="I73" s="360"/>
      <c r="J73" s="309"/>
      <c r="K73" s="334"/>
      <c r="L73" s="361"/>
      <c r="M73" s="36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325">
        <v>11.0</v>
      </c>
      <c r="B74" s="326">
        <v>46352.0</v>
      </c>
      <c r="C74" s="327" t="s">
        <v>162</v>
      </c>
      <c r="D74" s="329">
        <v>0.0</v>
      </c>
      <c r="E74" s="329">
        <v>0.0</v>
      </c>
      <c r="F74" s="359">
        <f t="shared" si="6"/>
        <v>0</v>
      </c>
      <c r="G74" s="329">
        <f t="shared" si="7"/>
        <v>0</v>
      </c>
      <c r="H74" s="309"/>
      <c r="I74" s="360"/>
      <c r="J74" s="309"/>
      <c r="K74" s="334"/>
      <c r="L74" s="361"/>
      <c r="M74" s="36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362"/>
      <c r="B75" s="363"/>
      <c r="C75" s="364"/>
      <c r="D75" s="365"/>
      <c r="E75" s="329">
        <v>0.0</v>
      </c>
      <c r="F75" s="359">
        <f t="shared" si="6"/>
        <v>0</v>
      </c>
      <c r="G75" s="329">
        <f t="shared" si="7"/>
        <v>0</v>
      </c>
      <c r="H75" s="309"/>
      <c r="I75" s="360"/>
      <c r="J75" s="309"/>
      <c r="K75" s="334"/>
      <c r="L75" s="361"/>
      <c r="M75" s="36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366" t="s">
        <v>130</v>
      </c>
      <c r="B76" s="46"/>
      <c r="C76" s="47"/>
      <c r="D76" s="367">
        <f>SUM(D64:D75)</f>
        <v>3208083.61</v>
      </c>
      <c r="E76" s="367">
        <f t="shared" ref="E76:G76" si="8">SUM(E64:E74)</f>
        <v>2491049.16</v>
      </c>
      <c r="F76" s="367">
        <f t="shared" si="8"/>
        <v>124552.458</v>
      </c>
      <c r="G76" s="367">
        <f t="shared" si="8"/>
        <v>2366496.702</v>
      </c>
      <c r="H76" s="309"/>
      <c r="I76" s="309"/>
      <c r="J76" s="309"/>
      <c r="K76" s="368"/>
      <c r="L76" s="361"/>
      <c r="M76" s="36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318"/>
      <c r="B77" s="319"/>
      <c r="C77" s="319"/>
      <c r="D77" s="369"/>
      <c r="E77" s="369"/>
      <c r="F77" s="319"/>
      <c r="G77" s="370"/>
      <c r="H77" s="319"/>
      <c r="I77" s="319"/>
      <c r="J77" s="369"/>
      <c r="K77" s="28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1"/>
      <c r="B78" s="3"/>
      <c r="C78" s="4"/>
      <c r="D78" s="3"/>
      <c r="E78" s="4"/>
      <c r="F78" s="4"/>
      <c r="G78" s="4"/>
      <c r="H78" s="4"/>
      <c r="I78" s="32"/>
      <c r="J78" s="32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1"/>
      <c r="B79" s="3"/>
      <c r="C79" s="4"/>
      <c r="D79" s="371" t="s">
        <v>163</v>
      </c>
      <c r="E79" s="47"/>
      <c r="F79" s="4"/>
      <c r="G79" s="3"/>
      <c r="I79" s="283"/>
      <c r="J79" s="32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1"/>
      <c r="B80" s="3"/>
      <c r="C80" s="4"/>
      <c r="D80" s="372">
        <v>908200.27</v>
      </c>
      <c r="E80" s="373">
        <f t="shared" ref="E80:E87" si="9">D80/$D$87</f>
        <v>0.3030303021</v>
      </c>
      <c r="F80" s="12"/>
      <c r="G80" s="374"/>
      <c r="H80" s="375"/>
      <c r="I80" s="32"/>
      <c r="J80" s="32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1"/>
      <c r="B81" s="3"/>
      <c r="C81" s="4"/>
      <c r="D81" s="372">
        <v>1245507.73</v>
      </c>
      <c r="E81" s="373">
        <f t="shared" si="9"/>
        <v>0.4155763835</v>
      </c>
      <c r="F81" s="12"/>
      <c r="G81" s="374"/>
      <c r="H81" s="375"/>
      <c r="I81" s="376"/>
      <c r="J81" s="32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1"/>
      <c r="B82" s="3"/>
      <c r="C82" s="4"/>
      <c r="D82" s="372">
        <v>168670.58</v>
      </c>
      <c r="E82" s="373">
        <f t="shared" si="9"/>
        <v>0.05627866287</v>
      </c>
      <c r="F82" s="12"/>
      <c r="G82" s="374"/>
      <c r="H82" s="375"/>
      <c r="I82" s="32"/>
      <c r="J82" s="32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1"/>
      <c r="B83" s="3"/>
      <c r="C83" s="4"/>
      <c r="D83" s="372">
        <v>168670.58</v>
      </c>
      <c r="E83" s="373">
        <f t="shared" si="9"/>
        <v>0.05627866287</v>
      </c>
      <c r="F83" s="12"/>
      <c r="G83" s="377"/>
      <c r="H83" s="378"/>
      <c r="I83" s="144"/>
      <c r="J83" s="4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1"/>
      <c r="B84" s="3"/>
      <c r="C84" s="4"/>
      <c r="D84" s="372">
        <v>168670.58</v>
      </c>
      <c r="E84" s="373">
        <f t="shared" si="9"/>
        <v>0.05627866287</v>
      </c>
      <c r="F84" s="12"/>
      <c r="G84" s="374"/>
      <c r="H84" s="375"/>
      <c r="I84" s="4"/>
      <c r="J84" s="3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1"/>
      <c r="B85" s="3"/>
      <c r="C85" s="4"/>
      <c r="D85" s="372">
        <v>168670.58</v>
      </c>
      <c r="E85" s="373">
        <f t="shared" si="9"/>
        <v>0.05627866287</v>
      </c>
      <c r="F85" s="12"/>
      <c r="G85" s="374"/>
      <c r="H85" s="375"/>
      <c r="I85" s="4"/>
      <c r="J85" s="3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1"/>
      <c r="B86" s="3"/>
      <c r="C86" s="4"/>
      <c r="D86" s="372">
        <v>168670.58</v>
      </c>
      <c r="E86" s="373">
        <f t="shared" si="9"/>
        <v>0.05627866287</v>
      </c>
      <c r="F86" s="12"/>
      <c r="G86" s="374"/>
      <c r="H86" s="375"/>
      <c r="I86" s="4"/>
      <c r="J86" s="3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1"/>
      <c r="B87" s="3"/>
      <c r="C87" s="4"/>
      <c r="D87" s="379">
        <f>SUM(D80:D86)</f>
        <v>2997060.9</v>
      </c>
      <c r="E87" s="373">
        <f t="shared" si="9"/>
        <v>1</v>
      </c>
      <c r="F87" s="4"/>
      <c r="G87" s="380"/>
      <c r="H87" s="375"/>
      <c r="I87" s="4"/>
      <c r="J87" s="3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1"/>
      <c r="B88" s="3"/>
      <c r="C88" s="4"/>
      <c r="D88" s="3"/>
      <c r="E88" s="4"/>
      <c r="F88" s="4"/>
      <c r="G88" s="4"/>
      <c r="H88" s="4"/>
      <c r="I88" s="4"/>
      <c r="J88" s="3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1"/>
      <c r="B89" s="3"/>
      <c r="C89" s="4"/>
      <c r="D89" s="3"/>
      <c r="E89" s="4"/>
      <c r="F89" s="4"/>
      <c r="G89" s="4"/>
      <c r="H89" s="4"/>
      <c r="I89" s="4"/>
      <c r="J89" s="3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1"/>
      <c r="B90" s="3"/>
      <c r="C90" s="4"/>
      <c r="D90" s="3"/>
      <c r="E90" s="4"/>
      <c r="F90" s="4"/>
      <c r="G90" s="4"/>
      <c r="H90" s="4"/>
      <c r="I90" s="4"/>
      <c r="J90" s="3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1"/>
      <c r="B91" s="3"/>
      <c r="C91" s="4"/>
      <c r="D91" s="3"/>
      <c r="E91" s="4"/>
      <c r="F91" s="4"/>
      <c r="G91" s="4"/>
      <c r="H91" s="4"/>
      <c r="I91" s="4"/>
      <c r="J91" s="3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1"/>
      <c r="B92" s="3"/>
      <c r="C92" s="4"/>
      <c r="D92" s="3"/>
      <c r="E92" s="4"/>
      <c r="F92" s="4"/>
      <c r="G92" s="4"/>
      <c r="H92" s="4"/>
      <c r="I92" s="4"/>
      <c r="J92" s="3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1"/>
      <c r="B93" s="3"/>
      <c r="C93" s="4"/>
      <c r="D93" s="3"/>
      <c r="E93" s="4"/>
      <c r="F93" s="4"/>
      <c r="G93" s="4"/>
      <c r="H93" s="4"/>
      <c r="I93" s="4"/>
      <c r="J93" s="3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1"/>
      <c r="B94" s="3"/>
      <c r="C94" s="4"/>
      <c r="D94" s="3"/>
      <c r="E94" s="4"/>
      <c r="F94" s="4"/>
      <c r="G94" s="4"/>
      <c r="H94" s="4"/>
      <c r="I94" s="4"/>
      <c r="J94" s="3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1"/>
      <c r="B95" s="3"/>
      <c r="C95" s="4"/>
      <c r="D95" s="3"/>
      <c r="E95" s="4"/>
      <c r="F95" s="4"/>
      <c r="G95" s="4"/>
      <c r="H95" s="4"/>
      <c r="I95" s="4"/>
      <c r="J95" s="3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1"/>
      <c r="B96" s="3"/>
      <c r="C96" s="4"/>
      <c r="D96" s="3"/>
      <c r="E96" s="4"/>
      <c r="F96" s="4"/>
      <c r="G96" s="4"/>
      <c r="H96" s="4"/>
      <c r="I96" s="4"/>
      <c r="J96" s="3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1"/>
      <c r="B97" s="3"/>
      <c r="C97" s="4"/>
      <c r="D97" s="3"/>
      <c r="E97" s="4"/>
      <c r="F97" s="4"/>
      <c r="G97" s="4"/>
      <c r="H97" s="4"/>
      <c r="I97" s="4"/>
      <c r="J97" s="3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1"/>
      <c r="B98" s="3"/>
      <c r="C98" s="4"/>
      <c r="D98" s="3"/>
      <c r="E98" s="4"/>
      <c r="F98" s="4"/>
      <c r="G98" s="4"/>
      <c r="H98" s="4"/>
      <c r="I98" s="4"/>
      <c r="J98" s="3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1"/>
      <c r="B99" s="3"/>
      <c r="C99" s="4"/>
      <c r="D99" s="3"/>
      <c r="E99" s="4"/>
      <c r="F99" s="4"/>
      <c r="G99" s="4"/>
      <c r="H99" s="4"/>
      <c r="I99" s="4"/>
      <c r="J99" s="3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1"/>
      <c r="B100" s="3"/>
      <c r="C100" s="4"/>
      <c r="D100" s="3"/>
      <c r="E100" s="4"/>
      <c r="F100" s="4"/>
      <c r="G100" s="4"/>
      <c r="H100" s="4"/>
      <c r="I100" s="4"/>
      <c r="J100" s="3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1"/>
      <c r="B101" s="3"/>
      <c r="C101" s="4"/>
      <c r="D101" s="3"/>
      <c r="E101" s="4"/>
      <c r="F101" s="4"/>
      <c r="G101" s="4"/>
      <c r="H101" s="4"/>
      <c r="I101" s="4"/>
      <c r="J101" s="3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1"/>
      <c r="B102" s="3"/>
      <c r="C102" s="4"/>
      <c r="D102" s="3"/>
      <c r="E102" s="4"/>
      <c r="F102" s="4"/>
      <c r="G102" s="4"/>
      <c r="H102" s="4"/>
      <c r="I102" s="4"/>
      <c r="J102" s="3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1"/>
      <c r="B103" s="3"/>
      <c r="C103" s="4"/>
      <c r="D103" s="3"/>
      <c r="E103" s="4"/>
      <c r="F103" s="4"/>
      <c r="G103" s="4"/>
      <c r="H103" s="4"/>
      <c r="I103" s="4"/>
      <c r="J103" s="3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1"/>
      <c r="B104" s="3"/>
      <c r="C104" s="4"/>
      <c r="D104" s="3"/>
      <c r="E104" s="4"/>
      <c r="F104" s="4"/>
      <c r="G104" s="4"/>
      <c r="H104" s="4"/>
      <c r="I104" s="4"/>
      <c r="J104" s="3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1"/>
      <c r="B105" s="3"/>
      <c r="C105" s="4"/>
      <c r="D105" s="3"/>
      <c r="E105" s="4"/>
      <c r="F105" s="4"/>
      <c r="G105" s="4"/>
      <c r="H105" s="4"/>
      <c r="I105" s="4"/>
      <c r="J105" s="3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1"/>
      <c r="B106" s="3"/>
      <c r="C106" s="4"/>
      <c r="D106" s="3"/>
      <c r="E106" s="4"/>
      <c r="F106" s="4"/>
      <c r="G106" s="4"/>
      <c r="H106" s="4"/>
      <c r="I106" s="4"/>
      <c r="J106" s="3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1"/>
      <c r="B107" s="3"/>
      <c r="C107" s="4"/>
      <c r="D107" s="3"/>
      <c r="E107" s="4"/>
      <c r="F107" s="4"/>
      <c r="G107" s="4"/>
      <c r="H107" s="4"/>
      <c r="I107" s="4"/>
      <c r="J107" s="3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1"/>
      <c r="B108" s="3"/>
      <c r="C108" s="4"/>
      <c r="D108" s="3"/>
      <c r="E108" s="4"/>
      <c r="F108" s="4"/>
      <c r="G108" s="4"/>
      <c r="H108" s="4"/>
      <c r="I108" s="4"/>
      <c r="J108" s="3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1"/>
      <c r="B109" s="3"/>
      <c r="C109" s="4"/>
      <c r="D109" s="3"/>
      <c r="E109" s="4"/>
      <c r="F109" s="4"/>
      <c r="G109" s="4"/>
      <c r="H109" s="4"/>
      <c r="I109" s="4"/>
      <c r="J109" s="3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1"/>
      <c r="B110" s="3"/>
      <c r="C110" s="4"/>
      <c r="D110" s="3"/>
      <c r="E110" s="4"/>
      <c r="F110" s="4"/>
      <c r="G110" s="4"/>
      <c r="H110" s="4"/>
      <c r="I110" s="4"/>
      <c r="J110" s="3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1"/>
      <c r="B111" s="3"/>
      <c r="C111" s="4"/>
      <c r="D111" s="3"/>
      <c r="E111" s="4"/>
      <c r="F111" s="4"/>
      <c r="G111" s="4"/>
      <c r="H111" s="4"/>
      <c r="I111" s="4"/>
      <c r="J111" s="3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1"/>
      <c r="B112" s="3"/>
      <c r="C112" s="4"/>
      <c r="D112" s="3"/>
      <c r="E112" s="4"/>
      <c r="F112" s="4"/>
      <c r="G112" s="4"/>
      <c r="H112" s="4"/>
      <c r="I112" s="4"/>
      <c r="J112" s="3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1"/>
      <c r="B113" s="3"/>
      <c r="C113" s="4"/>
      <c r="D113" s="3"/>
      <c r="E113" s="4"/>
      <c r="F113" s="4"/>
      <c r="G113" s="4"/>
      <c r="H113" s="4"/>
      <c r="I113" s="4"/>
      <c r="J113" s="3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1"/>
      <c r="B114" s="3"/>
      <c r="C114" s="4"/>
      <c r="D114" s="3"/>
      <c r="E114" s="4"/>
      <c r="F114" s="4"/>
      <c r="G114" s="4"/>
      <c r="H114" s="4"/>
      <c r="I114" s="4"/>
      <c r="J114" s="3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1"/>
      <c r="B115" s="3"/>
      <c r="C115" s="4"/>
      <c r="D115" s="3"/>
      <c r="E115" s="4"/>
      <c r="F115" s="4"/>
      <c r="G115" s="4"/>
      <c r="H115" s="4"/>
      <c r="I115" s="4"/>
      <c r="J115" s="3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1"/>
      <c r="B116" s="3"/>
      <c r="C116" s="4"/>
      <c r="D116" s="3"/>
      <c r="E116" s="4"/>
      <c r="F116" s="4"/>
      <c r="G116" s="4"/>
      <c r="H116" s="4"/>
      <c r="I116" s="4"/>
      <c r="J116" s="3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1"/>
      <c r="B117" s="3"/>
      <c r="C117" s="4"/>
      <c r="D117" s="3"/>
      <c r="E117" s="4"/>
      <c r="F117" s="4"/>
      <c r="G117" s="4"/>
      <c r="H117" s="4"/>
      <c r="I117" s="4"/>
      <c r="J117" s="3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1"/>
      <c r="B118" s="3"/>
      <c r="C118" s="4"/>
      <c r="D118" s="3"/>
      <c r="E118" s="4"/>
      <c r="F118" s="4"/>
      <c r="G118" s="4"/>
      <c r="H118" s="4"/>
      <c r="I118" s="4"/>
      <c r="J118" s="3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1"/>
      <c r="B119" s="3"/>
      <c r="C119" s="4"/>
      <c r="D119" s="3"/>
      <c r="E119" s="4"/>
      <c r="F119" s="4"/>
      <c r="G119" s="4"/>
      <c r="H119" s="4"/>
      <c r="I119" s="4"/>
      <c r="J119" s="3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1"/>
      <c r="B120" s="3"/>
      <c r="C120" s="4"/>
      <c r="D120" s="3"/>
      <c r="E120" s="4"/>
      <c r="F120" s="4"/>
      <c r="G120" s="4"/>
      <c r="H120" s="4"/>
      <c r="I120" s="4"/>
      <c r="J120" s="3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1"/>
      <c r="B121" s="3"/>
      <c r="C121" s="4"/>
      <c r="D121" s="3"/>
      <c r="E121" s="4"/>
      <c r="F121" s="4"/>
      <c r="G121" s="4"/>
      <c r="H121" s="4"/>
      <c r="I121" s="4"/>
      <c r="J121" s="3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1"/>
      <c r="B122" s="3"/>
      <c r="C122" s="4"/>
      <c r="D122" s="3"/>
      <c r="E122" s="4"/>
      <c r="F122" s="4"/>
      <c r="G122" s="4"/>
      <c r="H122" s="4"/>
      <c r="I122" s="4"/>
      <c r="J122" s="3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1"/>
      <c r="B123" s="3"/>
      <c r="C123" s="4"/>
      <c r="D123" s="3"/>
      <c r="E123" s="4"/>
      <c r="F123" s="4"/>
      <c r="G123" s="4"/>
      <c r="H123" s="4"/>
      <c r="I123" s="4"/>
      <c r="J123" s="3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1"/>
      <c r="B124" s="3"/>
      <c r="C124" s="4"/>
      <c r="D124" s="3"/>
      <c r="E124" s="4"/>
      <c r="F124" s="4"/>
      <c r="G124" s="4"/>
      <c r="H124" s="4"/>
      <c r="I124" s="4"/>
      <c r="J124" s="3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1"/>
      <c r="B125" s="3"/>
      <c r="C125" s="4"/>
      <c r="D125" s="3"/>
      <c r="E125" s="4"/>
      <c r="F125" s="4"/>
      <c r="G125" s="4"/>
      <c r="H125" s="4"/>
      <c r="I125" s="4"/>
      <c r="J125" s="3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1"/>
      <c r="B126" s="3"/>
      <c r="C126" s="4"/>
      <c r="D126" s="3"/>
      <c r="E126" s="4"/>
      <c r="F126" s="4"/>
      <c r="G126" s="4"/>
      <c r="H126" s="4"/>
      <c r="I126" s="4"/>
      <c r="J126" s="3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1"/>
      <c r="B127" s="3"/>
      <c r="C127" s="4"/>
      <c r="D127" s="3"/>
      <c r="E127" s="4"/>
      <c r="F127" s="4"/>
      <c r="G127" s="4"/>
      <c r="H127" s="4"/>
      <c r="I127" s="4"/>
      <c r="J127" s="3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1"/>
      <c r="B128" s="3"/>
      <c r="C128" s="4"/>
      <c r="D128" s="3"/>
      <c r="E128" s="4"/>
      <c r="F128" s="4"/>
      <c r="G128" s="4"/>
      <c r="H128" s="4"/>
      <c r="I128" s="4"/>
      <c r="J128" s="3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1"/>
      <c r="B129" s="3"/>
      <c r="C129" s="4"/>
      <c r="D129" s="3"/>
      <c r="E129" s="4"/>
      <c r="F129" s="4"/>
      <c r="G129" s="4"/>
      <c r="H129" s="4"/>
      <c r="I129" s="4"/>
      <c r="J129" s="3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1"/>
      <c r="B130" s="3"/>
      <c r="C130" s="4"/>
      <c r="D130" s="3"/>
      <c r="E130" s="4"/>
      <c r="F130" s="4"/>
      <c r="G130" s="4"/>
      <c r="H130" s="4"/>
      <c r="I130" s="4"/>
      <c r="J130" s="3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1"/>
      <c r="B131" s="3"/>
      <c r="C131" s="4"/>
      <c r="D131" s="3"/>
      <c r="E131" s="4"/>
      <c r="F131" s="4"/>
      <c r="G131" s="4"/>
      <c r="H131" s="4"/>
      <c r="I131" s="4"/>
      <c r="J131" s="3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1"/>
      <c r="B132" s="3"/>
      <c r="C132" s="4"/>
      <c r="D132" s="3"/>
      <c r="E132" s="4"/>
      <c r="F132" s="4"/>
      <c r="G132" s="4"/>
      <c r="H132" s="4"/>
      <c r="I132" s="4"/>
      <c r="J132" s="3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1"/>
      <c r="B133" s="3"/>
      <c r="C133" s="4"/>
      <c r="D133" s="3"/>
      <c r="E133" s="4"/>
      <c r="F133" s="4"/>
      <c r="G133" s="4"/>
      <c r="H133" s="4"/>
      <c r="I133" s="4"/>
      <c r="J133" s="3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1"/>
      <c r="B134" s="3"/>
      <c r="C134" s="4"/>
      <c r="D134" s="3"/>
      <c r="E134" s="4"/>
      <c r="F134" s="4"/>
      <c r="G134" s="4"/>
      <c r="H134" s="4"/>
      <c r="I134" s="4"/>
      <c r="J134" s="3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1"/>
      <c r="B135" s="3"/>
      <c r="C135" s="4"/>
      <c r="D135" s="3"/>
      <c r="E135" s="4"/>
      <c r="F135" s="4"/>
      <c r="G135" s="4"/>
      <c r="H135" s="4"/>
      <c r="I135" s="4"/>
      <c r="J135" s="3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1"/>
      <c r="B136" s="3"/>
      <c r="C136" s="4"/>
      <c r="D136" s="3"/>
      <c r="E136" s="4"/>
      <c r="F136" s="4"/>
      <c r="G136" s="4"/>
      <c r="H136" s="4"/>
      <c r="I136" s="4"/>
      <c r="J136" s="3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1"/>
      <c r="B137" s="3"/>
      <c r="C137" s="4"/>
      <c r="D137" s="3"/>
      <c r="E137" s="4"/>
      <c r="F137" s="4"/>
      <c r="G137" s="4"/>
      <c r="H137" s="4"/>
      <c r="I137" s="4"/>
      <c r="J137" s="3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1"/>
      <c r="B138" s="3"/>
      <c r="C138" s="4"/>
      <c r="D138" s="3"/>
      <c r="E138" s="4"/>
      <c r="F138" s="4"/>
      <c r="G138" s="4"/>
      <c r="H138" s="4"/>
      <c r="I138" s="4"/>
      <c r="J138" s="3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1"/>
      <c r="B139" s="3"/>
      <c r="C139" s="4"/>
      <c r="D139" s="3"/>
      <c r="E139" s="4"/>
      <c r="F139" s="4"/>
      <c r="G139" s="4"/>
      <c r="H139" s="4"/>
      <c r="I139" s="4"/>
      <c r="J139" s="3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1"/>
      <c r="B140" s="3"/>
      <c r="C140" s="4"/>
      <c r="D140" s="3"/>
      <c r="E140" s="4"/>
      <c r="F140" s="4"/>
      <c r="G140" s="4"/>
      <c r="H140" s="4"/>
      <c r="I140" s="4"/>
      <c r="J140" s="3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1"/>
      <c r="B141" s="3"/>
      <c r="C141" s="4"/>
      <c r="D141" s="3"/>
      <c r="E141" s="4"/>
      <c r="F141" s="4"/>
      <c r="G141" s="4"/>
      <c r="H141" s="4"/>
      <c r="I141" s="4"/>
      <c r="J141" s="3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1"/>
      <c r="B142" s="3"/>
      <c r="C142" s="4"/>
      <c r="D142" s="3"/>
      <c r="E142" s="4"/>
      <c r="F142" s="4"/>
      <c r="G142" s="4"/>
      <c r="H142" s="4"/>
      <c r="I142" s="4"/>
      <c r="J142" s="3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1"/>
      <c r="B143" s="3"/>
      <c r="C143" s="4"/>
      <c r="D143" s="3"/>
      <c r="E143" s="4"/>
      <c r="F143" s="4"/>
      <c r="G143" s="4"/>
      <c r="H143" s="4"/>
      <c r="I143" s="4"/>
      <c r="J143" s="3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1"/>
      <c r="B144" s="3"/>
      <c r="C144" s="4"/>
      <c r="D144" s="3"/>
      <c r="E144" s="4"/>
      <c r="F144" s="4"/>
      <c r="G144" s="4"/>
      <c r="H144" s="4"/>
      <c r="I144" s="4"/>
      <c r="J144" s="3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1"/>
      <c r="B145" s="3"/>
      <c r="C145" s="4"/>
      <c r="D145" s="3"/>
      <c r="E145" s="4"/>
      <c r="F145" s="4"/>
      <c r="G145" s="4"/>
      <c r="H145" s="4"/>
      <c r="I145" s="4"/>
      <c r="J145" s="3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1"/>
      <c r="B146" s="3"/>
      <c r="C146" s="4"/>
      <c r="D146" s="3"/>
      <c r="E146" s="4"/>
      <c r="F146" s="4"/>
      <c r="G146" s="4"/>
      <c r="H146" s="4"/>
      <c r="I146" s="4"/>
      <c r="J146" s="3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1"/>
      <c r="B147" s="3"/>
      <c r="C147" s="4"/>
      <c r="D147" s="3"/>
      <c r="E147" s="4"/>
      <c r="F147" s="4"/>
      <c r="G147" s="4"/>
      <c r="H147" s="4"/>
      <c r="I147" s="4"/>
      <c r="J147" s="3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1"/>
      <c r="B148" s="3"/>
      <c r="C148" s="4"/>
      <c r="D148" s="3"/>
      <c r="E148" s="4"/>
      <c r="F148" s="4"/>
      <c r="G148" s="4"/>
      <c r="H148" s="4"/>
      <c r="I148" s="4"/>
      <c r="J148" s="3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1"/>
      <c r="B149" s="3"/>
      <c r="C149" s="4"/>
      <c r="D149" s="3"/>
      <c r="E149" s="4"/>
      <c r="F149" s="4"/>
      <c r="G149" s="4"/>
      <c r="H149" s="4"/>
      <c r="I149" s="4"/>
      <c r="J149" s="3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1"/>
      <c r="B150" s="3"/>
      <c r="C150" s="4"/>
      <c r="D150" s="3"/>
      <c r="E150" s="4"/>
      <c r="F150" s="4"/>
      <c r="G150" s="4"/>
      <c r="H150" s="4"/>
      <c r="I150" s="4"/>
      <c r="J150" s="3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1"/>
      <c r="B151" s="3"/>
      <c r="C151" s="4"/>
      <c r="D151" s="3"/>
      <c r="E151" s="4"/>
      <c r="F151" s="4"/>
      <c r="G151" s="4"/>
      <c r="H151" s="4"/>
      <c r="I151" s="4"/>
      <c r="J151" s="3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1"/>
      <c r="B152" s="3"/>
      <c r="C152" s="4"/>
      <c r="D152" s="3"/>
      <c r="E152" s="4"/>
      <c r="F152" s="4"/>
      <c r="G152" s="4"/>
      <c r="H152" s="4"/>
      <c r="I152" s="4"/>
      <c r="J152" s="3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1"/>
      <c r="B153" s="3"/>
      <c r="C153" s="4"/>
      <c r="D153" s="3"/>
      <c r="E153" s="4"/>
      <c r="F153" s="4"/>
      <c r="G153" s="4"/>
      <c r="H153" s="4"/>
      <c r="I153" s="4"/>
      <c r="J153" s="3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1"/>
      <c r="B154" s="3"/>
      <c r="C154" s="4"/>
      <c r="D154" s="3"/>
      <c r="E154" s="4"/>
      <c r="F154" s="4"/>
      <c r="G154" s="4"/>
      <c r="H154" s="4"/>
      <c r="I154" s="4"/>
      <c r="J154" s="3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1"/>
      <c r="B155" s="3"/>
      <c r="C155" s="4"/>
      <c r="D155" s="3"/>
      <c r="E155" s="4"/>
      <c r="F155" s="4"/>
      <c r="G155" s="4"/>
      <c r="H155" s="4"/>
      <c r="I155" s="4"/>
      <c r="J155" s="3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1"/>
      <c r="B156" s="3"/>
      <c r="C156" s="4"/>
      <c r="D156" s="3"/>
      <c r="E156" s="4"/>
      <c r="F156" s="4"/>
      <c r="G156" s="4"/>
      <c r="H156" s="4"/>
      <c r="I156" s="4"/>
      <c r="J156" s="3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1"/>
      <c r="B157" s="3"/>
      <c r="C157" s="4"/>
      <c r="D157" s="3"/>
      <c r="E157" s="4"/>
      <c r="F157" s="4"/>
      <c r="G157" s="4"/>
      <c r="H157" s="4"/>
      <c r="I157" s="4"/>
      <c r="J157" s="3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1"/>
      <c r="B158" s="3"/>
      <c r="C158" s="4"/>
      <c r="D158" s="3"/>
      <c r="E158" s="4"/>
      <c r="F158" s="4"/>
      <c r="G158" s="4"/>
      <c r="H158" s="4"/>
      <c r="I158" s="4"/>
      <c r="J158" s="3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1"/>
      <c r="B159" s="3"/>
      <c r="C159" s="4"/>
      <c r="D159" s="3"/>
      <c r="E159" s="4"/>
      <c r="F159" s="4"/>
      <c r="G159" s="4"/>
      <c r="H159" s="4"/>
      <c r="I159" s="4"/>
      <c r="J159" s="3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1"/>
      <c r="B160" s="3"/>
      <c r="C160" s="4"/>
      <c r="D160" s="3"/>
      <c r="E160" s="4"/>
      <c r="F160" s="4"/>
      <c r="G160" s="4"/>
      <c r="H160" s="4"/>
      <c r="I160" s="4"/>
      <c r="J160" s="3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1"/>
      <c r="B161" s="3"/>
      <c r="C161" s="4"/>
      <c r="D161" s="3"/>
      <c r="E161" s="4"/>
      <c r="F161" s="4"/>
      <c r="G161" s="4"/>
      <c r="H161" s="4"/>
      <c r="I161" s="4"/>
      <c r="J161" s="3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1"/>
      <c r="B162" s="3"/>
      <c r="C162" s="4"/>
      <c r="D162" s="3"/>
      <c r="E162" s="4"/>
      <c r="F162" s="4"/>
      <c r="G162" s="4"/>
      <c r="H162" s="4"/>
      <c r="I162" s="4"/>
      <c r="J162" s="3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1"/>
      <c r="B163" s="3"/>
      <c r="C163" s="4"/>
      <c r="D163" s="3"/>
      <c r="E163" s="4"/>
      <c r="F163" s="4"/>
      <c r="G163" s="4"/>
      <c r="H163" s="4"/>
      <c r="I163" s="4"/>
      <c r="J163" s="3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1"/>
      <c r="B164" s="3"/>
      <c r="C164" s="4"/>
      <c r="D164" s="3"/>
      <c r="E164" s="4"/>
      <c r="F164" s="4"/>
      <c r="G164" s="4"/>
      <c r="H164" s="4"/>
      <c r="I164" s="4"/>
      <c r="J164" s="3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1"/>
      <c r="B165" s="3"/>
      <c r="C165" s="4"/>
      <c r="D165" s="3"/>
      <c r="E165" s="4"/>
      <c r="F165" s="4"/>
      <c r="G165" s="4"/>
      <c r="H165" s="4"/>
      <c r="I165" s="4"/>
      <c r="J165" s="3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1"/>
      <c r="B166" s="3"/>
      <c r="C166" s="4"/>
      <c r="D166" s="3"/>
      <c r="E166" s="4"/>
      <c r="F166" s="4"/>
      <c r="G166" s="4"/>
      <c r="H166" s="4"/>
      <c r="I166" s="4"/>
      <c r="J166" s="3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1"/>
      <c r="B167" s="3"/>
      <c r="C167" s="4"/>
      <c r="D167" s="3"/>
      <c r="E167" s="4"/>
      <c r="F167" s="4"/>
      <c r="G167" s="4"/>
      <c r="H167" s="4"/>
      <c r="I167" s="4"/>
      <c r="J167" s="3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1"/>
      <c r="B168" s="3"/>
      <c r="C168" s="4"/>
      <c r="D168" s="3"/>
      <c r="E168" s="4"/>
      <c r="F168" s="4"/>
      <c r="G168" s="4"/>
      <c r="H168" s="4"/>
      <c r="I168" s="4"/>
      <c r="J168" s="3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1"/>
      <c r="B169" s="3"/>
      <c r="C169" s="4"/>
      <c r="D169" s="3"/>
      <c r="E169" s="4"/>
      <c r="F169" s="4"/>
      <c r="G169" s="4"/>
      <c r="H169" s="4"/>
      <c r="I169" s="4"/>
      <c r="J169" s="3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1"/>
      <c r="B170" s="3"/>
      <c r="C170" s="4"/>
      <c r="D170" s="3"/>
      <c r="E170" s="4"/>
      <c r="F170" s="4"/>
      <c r="G170" s="4"/>
      <c r="H170" s="4"/>
      <c r="I170" s="4"/>
      <c r="J170" s="3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1"/>
      <c r="B171" s="3"/>
      <c r="C171" s="4"/>
      <c r="D171" s="3"/>
      <c r="E171" s="4"/>
      <c r="F171" s="4"/>
      <c r="G171" s="4"/>
      <c r="H171" s="4"/>
      <c r="I171" s="4"/>
      <c r="J171" s="3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1"/>
      <c r="B172" s="3"/>
      <c r="C172" s="4"/>
      <c r="D172" s="3"/>
      <c r="E172" s="4"/>
      <c r="F172" s="4"/>
      <c r="G172" s="4"/>
      <c r="H172" s="4"/>
      <c r="I172" s="4"/>
      <c r="J172" s="3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1"/>
      <c r="B173" s="3"/>
      <c r="C173" s="4"/>
      <c r="D173" s="3"/>
      <c r="E173" s="4"/>
      <c r="F173" s="4"/>
      <c r="G173" s="4"/>
      <c r="H173" s="4"/>
      <c r="I173" s="4"/>
      <c r="J173" s="3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1"/>
      <c r="B174" s="3"/>
      <c r="C174" s="4"/>
      <c r="D174" s="3"/>
      <c r="E174" s="4"/>
      <c r="F174" s="4"/>
      <c r="G174" s="4"/>
      <c r="H174" s="4"/>
      <c r="I174" s="4"/>
      <c r="J174" s="3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1"/>
      <c r="B175" s="3"/>
      <c r="C175" s="4"/>
      <c r="D175" s="3"/>
      <c r="E175" s="4"/>
      <c r="F175" s="4"/>
      <c r="G175" s="4"/>
      <c r="H175" s="4"/>
      <c r="I175" s="4"/>
      <c r="J175" s="3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1"/>
      <c r="B176" s="3"/>
      <c r="C176" s="4"/>
      <c r="D176" s="3"/>
      <c r="E176" s="4"/>
      <c r="F176" s="4"/>
      <c r="G176" s="4"/>
      <c r="H176" s="4"/>
      <c r="I176" s="4"/>
      <c r="J176" s="3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1"/>
      <c r="B177" s="3"/>
      <c r="C177" s="4"/>
      <c r="D177" s="3"/>
      <c r="E177" s="4"/>
      <c r="F177" s="4"/>
      <c r="G177" s="4"/>
      <c r="H177" s="4"/>
      <c r="I177" s="4"/>
      <c r="J177" s="3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1"/>
      <c r="B178" s="3"/>
      <c r="C178" s="4"/>
      <c r="D178" s="3"/>
      <c r="E178" s="4"/>
      <c r="F178" s="4"/>
      <c r="G178" s="4"/>
      <c r="H178" s="4"/>
      <c r="I178" s="4"/>
      <c r="J178" s="3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1"/>
      <c r="B179" s="3"/>
      <c r="C179" s="4"/>
      <c r="D179" s="3"/>
      <c r="E179" s="4"/>
      <c r="F179" s="4"/>
      <c r="G179" s="4"/>
      <c r="H179" s="4"/>
      <c r="I179" s="4"/>
      <c r="J179" s="3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1"/>
      <c r="B180" s="3"/>
      <c r="C180" s="4"/>
      <c r="D180" s="3"/>
      <c r="E180" s="4"/>
      <c r="F180" s="4"/>
      <c r="G180" s="4"/>
      <c r="H180" s="4"/>
      <c r="I180" s="4"/>
      <c r="J180" s="3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1"/>
      <c r="B181" s="3"/>
      <c r="C181" s="4"/>
      <c r="D181" s="3"/>
      <c r="E181" s="4"/>
      <c r="F181" s="4"/>
      <c r="G181" s="4"/>
      <c r="H181" s="4"/>
      <c r="I181" s="4"/>
      <c r="J181" s="3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1"/>
      <c r="B182" s="3"/>
      <c r="C182" s="4"/>
      <c r="D182" s="3"/>
      <c r="E182" s="4"/>
      <c r="F182" s="4"/>
      <c r="G182" s="4"/>
      <c r="H182" s="4"/>
      <c r="I182" s="4"/>
      <c r="J182" s="3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1"/>
      <c r="B183" s="3"/>
      <c r="C183" s="4"/>
      <c r="D183" s="3"/>
      <c r="E183" s="4"/>
      <c r="F183" s="4"/>
      <c r="G183" s="4"/>
      <c r="H183" s="4"/>
      <c r="I183" s="4"/>
      <c r="J183" s="3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1"/>
      <c r="B184" s="3"/>
      <c r="C184" s="4"/>
      <c r="D184" s="3"/>
      <c r="E184" s="4"/>
      <c r="F184" s="4"/>
      <c r="G184" s="4"/>
      <c r="H184" s="4"/>
      <c r="I184" s="4"/>
      <c r="J184" s="3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1"/>
      <c r="B185" s="3"/>
      <c r="C185" s="4"/>
      <c r="D185" s="3"/>
      <c r="E185" s="4"/>
      <c r="F185" s="4"/>
      <c r="G185" s="4"/>
      <c r="H185" s="4"/>
      <c r="I185" s="4"/>
      <c r="J185" s="3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1"/>
      <c r="B186" s="3"/>
      <c r="C186" s="4"/>
      <c r="D186" s="3"/>
      <c r="E186" s="4"/>
      <c r="F186" s="4"/>
      <c r="G186" s="4"/>
      <c r="H186" s="4"/>
      <c r="I186" s="4"/>
      <c r="J186" s="3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1"/>
      <c r="B187" s="3"/>
      <c r="C187" s="4"/>
      <c r="D187" s="3"/>
      <c r="E187" s="4"/>
      <c r="F187" s="4"/>
      <c r="G187" s="4"/>
      <c r="H187" s="4"/>
      <c r="I187" s="4"/>
      <c r="J187" s="3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1"/>
      <c r="B188" s="3"/>
      <c r="C188" s="4"/>
      <c r="D188" s="3"/>
      <c r="E188" s="4"/>
      <c r="F188" s="4"/>
      <c r="G188" s="4"/>
      <c r="H188" s="4"/>
      <c r="I188" s="4"/>
      <c r="J188" s="3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1"/>
      <c r="B189" s="3"/>
      <c r="C189" s="4"/>
      <c r="D189" s="3"/>
      <c r="E189" s="4"/>
      <c r="F189" s="4"/>
      <c r="G189" s="4"/>
      <c r="H189" s="4"/>
      <c r="I189" s="4"/>
      <c r="J189" s="3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1"/>
      <c r="B190" s="3"/>
      <c r="C190" s="4"/>
      <c r="D190" s="3"/>
      <c r="E190" s="4"/>
      <c r="F190" s="4"/>
      <c r="G190" s="4"/>
      <c r="H190" s="4"/>
      <c r="I190" s="4"/>
      <c r="J190" s="3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1"/>
      <c r="B191" s="3"/>
      <c r="C191" s="4"/>
      <c r="D191" s="3"/>
      <c r="E191" s="4"/>
      <c r="F191" s="4"/>
      <c r="G191" s="4"/>
      <c r="H191" s="4"/>
      <c r="I191" s="4"/>
      <c r="J191" s="3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1"/>
      <c r="B192" s="3"/>
      <c r="C192" s="4"/>
      <c r="D192" s="3"/>
      <c r="E192" s="4"/>
      <c r="F192" s="4"/>
      <c r="G192" s="4"/>
      <c r="H192" s="4"/>
      <c r="I192" s="4"/>
      <c r="J192" s="3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1"/>
      <c r="B193" s="3"/>
      <c r="C193" s="4"/>
      <c r="D193" s="3"/>
      <c r="E193" s="4"/>
      <c r="F193" s="4"/>
      <c r="G193" s="4"/>
      <c r="H193" s="4"/>
      <c r="I193" s="4"/>
      <c r="J193" s="3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1"/>
      <c r="B194" s="3"/>
      <c r="C194" s="4"/>
      <c r="D194" s="3"/>
      <c r="E194" s="4"/>
      <c r="F194" s="4"/>
      <c r="G194" s="4"/>
      <c r="H194" s="4"/>
      <c r="I194" s="4"/>
      <c r="J194" s="3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1"/>
      <c r="B195" s="3"/>
      <c r="C195" s="4"/>
      <c r="D195" s="3"/>
      <c r="E195" s="4"/>
      <c r="F195" s="4"/>
      <c r="G195" s="4"/>
      <c r="H195" s="4"/>
      <c r="I195" s="4"/>
      <c r="J195" s="3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1"/>
      <c r="B196" s="3"/>
      <c r="C196" s="4"/>
      <c r="D196" s="3"/>
      <c r="E196" s="4"/>
      <c r="F196" s="4"/>
      <c r="G196" s="4"/>
      <c r="H196" s="4"/>
      <c r="I196" s="4"/>
      <c r="J196" s="3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1"/>
      <c r="B197" s="3"/>
      <c r="C197" s="4"/>
      <c r="D197" s="3"/>
      <c r="E197" s="4"/>
      <c r="F197" s="4"/>
      <c r="G197" s="4"/>
      <c r="H197" s="4"/>
      <c r="I197" s="4"/>
      <c r="J197" s="3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1"/>
      <c r="B198" s="3"/>
      <c r="C198" s="4"/>
      <c r="D198" s="3"/>
      <c r="E198" s="4"/>
      <c r="F198" s="4"/>
      <c r="G198" s="4"/>
      <c r="H198" s="4"/>
      <c r="I198" s="4"/>
      <c r="J198" s="3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1"/>
      <c r="B199" s="3"/>
      <c r="C199" s="4"/>
      <c r="D199" s="3"/>
      <c r="E199" s="4"/>
      <c r="F199" s="4"/>
      <c r="G199" s="4"/>
      <c r="H199" s="4"/>
      <c r="I199" s="4"/>
      <c r="J199" s="3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1"/>
      <c r="B200" s="3"/>
      <c r="C200" s="4"/>
      <c r="D200" s="3"/>
      <c r="E200" s="4"/>
      <c r="F200" s="4"/>
      <c r="G200" s="4"/>
      <c r="H200" s="4"/>
      <c r="I200" s="4"/>
      <c r="J200" s="3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1"/>
      <c r="B201" s="3"/>
      <c r="C201" s="4"/>
      <c r="D201" s="3"/>
      <c r="E201" s="4"/>
      <c r="F201" s="4"/>
      <c r="G201" s="4"/>
      <c r="H201" s="4"/>
      <c r="I201" s="4"/>
      <c r="J201" s="3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1"/>
      <c r="B202" s="3"/>
      <c r="C202" s="4"/>
      <c r="D202" s="3"/>
      <c r="E202" s="4"/>
      <c r="F202" s="4"/>
      <c r="G202" s="4"/>
      <c r="H202" s="4"/>
      <c r="I202" s="4"/>
      <c r="J202" s="3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1"/>
      <c r="B203" s="3"/>
      <c r="C203" s="4"/>
      <c r="D203" s="3"/>
      <c r="E203" s="4"/>
      <c r="F203" s="4"/>
      <c r="G203" s="4"/>
      <c r="H203" s="4"/>
      <c r="I203" s="4"/>
      <c r="J203" s="3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1"/>
      <c r="B204" s="3"/>
      <c r="C204" s="4"/>
      <c r="D204" s="3"/>
      <c r="E204" s="4"/>
      <c r="F204" s="4"/>
      <c r="G204" s="4"/>
      <c r="H204" s="4"/>
      <c r="I204" s="4"/>
      <c r="J204" s="3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1"/>
      <c r="B205" s="3"/>
      <c r="C205" s="4"/>
      <c r="D205" s="3"/>
      <c r="E205" s="4"/>
      <c r="F205" s="4"/>
      <c r="G205" s="4"/>
      <c r="H205" s="4"/>
      <c r="I205" s="4"/>
      <c r="J205" s="3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1"/>
      <c r="B206" s="3"/>
      <c r="C206" s="4"/>
      <c r="D206" s="3"/>
      <c r="E206" s="4"/>
      <c r="F206" s="4"/>
      <c r="G206" s="4"/>
      <c r="H206" s="4"/>
      <c r="I206" s="4"/>
      <c r="J206" s="3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1"/>
      <c r="B207" s="3"/>
      <c r="C207" s="4"/>
      <c r="D207" s="3"/>
      <c r="E207" s="4"/>
      <c r="F207" s="4"/>
      <c r="G207" s="4"/>
      <c r="H207" s="4"/>
      <c r="I207" s="4"/>
      <c r="J207" s="3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1"/>
      <c r="B208" s="3"/>
      <c r="C208" s="4"/>
      <c r="D208" s="3"/>
      <c r="E208" s="4"/>
      <c r="F208" s="4"/>
      <c r="G208" s="4"/>
      <c r="H208" s="4"/>
      <c r="I208" s="4"/>
      <c r="J208" s="3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1"/>
      <c r="B209" s="3"/>
      <c r="C209" s="4"/>
      <c r="D209" s="3"/>
      <c r="E209" s="4"/>
      <c r="F209" s="4"/>
      <c r="G209" s="4"/>
      <c r="H209" s="4"/>
      <c r="I209" s="4"/>
      <c r="J209" s="3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1"/>
      <c r="B210" s="3"/>
      <c r="C210" s="4"/>
      <c r="D210" s="3"/>
      <c r="E210" s="4"/>
      <c r="F210" s="4"/>
      <c r="G210" s="4"/>
      <c r="H210" s="4"/>
      <c r="I210" s="4"/>
      <c r="J210" s="3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1"/>
      <c r="B211" s="3"/>
      <c r="C211" s="4"/>
      <c r="D211" s="3"/>
      <c r="E211" s="4"/>
      <c r="F211" s="4"/>
      <c r="G211" s="4"/>
      <c r="H211" s="4"/>
      <c r="I211" s="4"/>
      <c r="J211" s="3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1"/>
      <c r="B212" s="3"/>
      <c r="C212" s="4"/>
      <c r="D212" s="3"/>
      <c r="E212" s="4"/>
      <c r="F212" s="4"/>
      <c r="G212" s="4"/>
      <c r="H212" s="4"/>
      <c r="I212" s="4"/>
      <c r="J212" s="3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1"/>
      <c r="B213" s="3"/>
      <c r="C213" s="4"/>
      <c r="D213" s="3"/>
      <c r="E213" s="4"/>
      <c r="F213" s="4"/>
      <c r="G213" s="4"/>
      <c r="H213" s="4"/>
      <c r="I213" s="4"/>
      <c r="J213" s="3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1"/>
      <c r="B214" s="3"/>
      <c r="C214" s="4"/>
      <c r="D214" s="3"/>
      <c r="E214" s="4"/>
      <c r="F214" s="4"/>
      <c r="G214" s="4"/>
      <c r="H214" s="4"/>
      <c r="I214" s="4"/>
      <c r="J214" s="3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1"/>
      <c r="B215" s="3"/>
      <c r="C215" s="4"/>
      <c r="D215" s="3"/>
      <c r="E215" s="4"/>
      <c r="F215" s="4"/>
      <c r="G215" s="4"/>
      <c r="H215" s="4"/>
      <c r="I215" s="4"/>
      <c r="J215" s="3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1"/>
      <c r="B216" s="3"/>
      <c r="C216" s="4"/>
      <c r="D216" s="3"/>
      <c r="E216" s="4"/>
      <c r="F216" s="4"/>
      <c r="G216" s="4"/>
      <c r="H216" s="4"/>
      <c r="I216" s="4"/>
      <c r="J216" s="3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1"/>
      <c r="B217" s="3"/>
      <c r="C217" s="4"/>
      <c r="D217" s="3"/>
      <c r="E217" s="4"/>
      <c r="F217" s="4"/>
      <c r="G217" s="4"/>
      <c r="H217" s="4"/>
      <c r="I217" s="4"/>
      <c r="J217" s="3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1"/>
      <c r="B218" s="3"/>
      <c r="C218" s="4"/>
      <c r="D218" s="3"/>
      <c r="E218" s="4"/>
      <c r="F218" s="4"/>
      <c r="G218" s="4"/>
      <c r="H218" s="4"/>
      <c r="I218" s="4"/>
      <c r="J218" s="3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1"/>
      <c r="B219" s="3"/>
      <c r="C219" s="4"/>
      <c r="D219" s="3"/>
      <c r="E219" s="4"/>
      <c r="F219" s="4"/>
      <c r="G219" s="4"/>
      <c r="H219" s="4"/>
      <c r="I219" s="4"/>
      <c r="J219" s="3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1"/>
      <c r="B220" s="3"/>
      <c r="C220" s="4"/>
      <c r="D220" s="3"/>
      <c r="E220" s="4"/>
      <c r="F220" s="4"/>
      <c r="G220" s="4"/>
      <c r="H220" s="4"/>
      <c r="I220" s="4"/>
      <c r="J220" s="3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1"/>
      <c r="B221" s="3"/>
      <c r="C221" s="4"/>
      <c r="D221" s="3"/>
      <c r="E221" s="4"/>
      <c r="F221" s="4"/>
      <c r="G221" s="4"/>
      <c r="H221" s="4"/>
      <c r="I221" s="4"/>
      <c r="J221" s="3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1"/>
      <c r="B222" s="3"/>
      <c r="C222" s="4"/>
      <c r="D222" s="3"/>
      <c r="E222" s="4"/>
      <c r="F222" s="4"/>
      <c r="G222" s="4"/>
      <c r="H222" s="4"/>
      <c r="I222" s="4"/>
      <c r="J222" s="3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1"/>
      <c r="B223" s="3"/>
      <c r="C223" s="4"/>
      <c r="D223" s="3"/>
      <c r="E223" s="4"/>
      <c r="F223" s="4"/>
      <c r="G223" s="4"/>
      <c r="H223" s="4"/>
      <c r="I223" s="4"/>
      <c r="J223" s="3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1"/>
      <c r="B224" s="3"/>
      <c r="C224" s="4"/>
      <c r="D224" s="3"/>
      <c r="E224" s="4"/>
      <c r="F224" s="4"/>
      <c r="G224" s="4"/>
      <c r="H224" s="4"/>
      <c r="I224" s="4"/>
      <c r="J224" s="3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1"/>
      <c r="B225" s="3"/>
      <c r="C225" s="4"/>
      <c r="D225" s="3"/>
      <c r="E225" s="4"/>
      <c r="F225" s="4"/>
      <c r="G225" s="4"/>
      <c r="H225" s="4"/>
      <c r="I225" s="4"/>
      <c r="J225" s="3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1"/>
      <c r="B226" s="3"/>
      <c r="C226" s="4"/>
      <c r="D226" s="3"/>
      <c r="E226" s="4"/>
      <c r="F226" s="4"/>
      <c r="G226" s="4"/>
      <c r="H226" s="4"/>
      <c r="I226" s="4"/>
      <c r="J226" s="3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1"/>
      <c r="B227" s="3"/>
      <c r="C227" s="4"/>
      <c r="D227" s="3"/>
      <c r="E227" s="4"/>
      <c r="F227" s="4"/>
      <c r="G227" s="4"/>
      <c r="H227" s="4"/>
      <c r="I227" s="4"/>
      <c r="J227" s="3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1"/>
      <c r="B228" s="3"/>
      <c r="C228" s="4"/>
      <c r="D228" s="3"/>
      <c r="E228" s="4"/>
      <c r="F228" s="4"/>
      <c r="G228" s="4"/>
      <c r="H228" s="4"/>
      <c r="I228" s="4"/>
      <c r="J228" s="3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1"/>
      <c r="B229" s="3"/>
      <c r="C229" s="4"/>
      <c r="D229" s="3"/>
      <c r="E229" s="4"/>
      <c r="F229" s="4"/>
      <c r="G229" s="4"/>
      <c r="H229" s="4"/>
      <c r="I229" s="4"/>
      <c r="J229" s="3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1"/>
      <c r="B230" s="3"/>
      <c r="C230" s="4"/>
      <c r="D230" s="3"/>
      <c r="E230" s="4"/>
      <c r="F230" s="4"/>
      <c r="G230" s="4"/>
      <c r="H230" s="4"/>
      <c r="I230" s="4"/>
      <c r="J230" s="3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1"/>
      <c r="B231" s="3"/>
      <c r="C231" s="4"/>
      <c r="D231" s="3"/>
      <c r="E231" s="4"/>
      <c r="F231" s="4"/>
      <c r="G231" s="4"/>
      <c r="H231" s="4"/>
      <c r="I231" s="4"/>
      <c r="J231" s="3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1"/>
      <c r="B232" s="3"/>
      <c r="C232" s="4"/>
      <c r="D232" s="3"/>
      <c r="E232" s="4"/>
      <c r="F232" s="4"/>
      <c r="G232" s="4"/>
      <c r="H232" s="4"/>
      <c r="I232" s="4"/>
      <c r="J232" s="3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1"/>
      <c r="B233" s="3"/>
      <c r="C233" s="4"/>
      <c r="D233" s="3"/>
      <c r="E233" s="4"/>
      <c r="F233" s="4"/>
      <c r="G233" s="4"/>
      <c r="H233" s="4"/>
      <c r="I233" s="4"/>
      <c r="J233" s="3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1"/>
      <c r="B234" s="3"/>
      <c r="C234" s="4"/>
      <c r="D234" s="3"/>
      <c r="E234" s="4"/>
      <c r="F234" s="4"/>
      <c r="G234" s="4"/>
      <c r="H234" s="4"/>
      <c r="I234" s="4"/>
      <c r="J234" s="3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1"/>
      <c r="B235" s="3"/>
      <c r="C235" s="4"/>
      <c r="D235" s="3"/>
      <c r="E235" s="4"/>
      <c r="F235" s="4"/>
      <c r="G235" s="4"/>
      <c r="H235" s="4"/>
      <c r="I235" s="4"/>
      <c r="J235" s="3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1"/>
      <c r="B236" s="3"/>
      <c r="C236" s="4"/>
      <c r="D236" s="3"/>
      <c r="E236" s="4"/>
      <c r="F236" s="4"/>
      <c r="G236" s="4"/>
      <c r="H236" s="4"/>
      <c r="I236" s="4"/>
      <c r="J236" s="3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1"/>
      <c r="B237" s="3"/>
      <c r="C237" s="4"/>
      <c r="D237" s="3"/>
      <c r="E237" s="4"/>
      <c r="F237" s="4"/>
      <c r="G237" s="4"/>
      <c r="H237" s="4"/>
      <c r="I237" s="4"/>
      <c r="J237" s="3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1"/>
      <c r="B238" s="3"/>
      <c r="C238" s="4"/>
      <c r="D238" s="3"/>
      <c r="E238" s="4"/>
      <c r="F238" s="4"/>
      <c r="G238" s="4"/>
      <c r="H238" s="4"/>
      <c r="I238" s="4"/>
      <c r="J238" s="3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1"/>
      <c r="B239" s="3"/>
      <c r="C239" s="4"/>
      <c r="D239" s="3"/>
      <c r="E239" s="4"/>
      <c r="F239" s="4"/>
      <c r="G239" s="4"/>
      <c r="H239" s="4"/>
      <c r="I239" s="4"/>
      <c r="J239" s="3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1"/>
      <c r="B240" s="3"/>
      <c r="C240" s="4"/>
      <c r="D240" s="3"/>
      <c r="E240" s="4"/>
      <c r="F240" s="4"/>
      <c r="G240" s="4"/>
      <c r="H240" s="4"/>
      <c r="I240" s="4"/>
      <c r="J240" s="3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1"/>
      <c r="B241" s="3"/>
      <c r="C241" s="4"/>
      <c r="D241" s="3"/>
      <c r="E241" s="4"/>
      <c r="F241" s="4"/>
      <c r="G241" s="4"/>
      <c r="H241" s="4"/>
      <c r="I241" s="4"/>
      <c r="J241" s="3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1"/>
      <c r="B242" s="3"/>
      <c r="C242" s="4"/>
      <c r="D242" s="3"/>
      <c r="E242" s="4"/>
      <c r="F242" s="4"/>
      <c r="G242" s="4"/>
      <c r="H242" s="4"/>
      <c r="I242" s="4"/>
      <c r="J242" s="3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1"/>
      <c r="B243" s="3"/>
      <c r="C243" s="4"/>
      <c r="D243" s="3"/>
      <c r="E243" s="4"/>
      <c r="F243" s="4"/>
      <c r="G243" s="4"/>
      <c r="H243" s="4"/>
      <c r="I243" s="4"/>
      <c r="J243" s="3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1"/>
      <c r="B244" s="3"/>
      <c r="C244" s="4"/>
      <c r="D244" s="3"/>
      <c r="E244" s="4"/>
      <c r="F244" s="4"/>
      <c r="G244" s="4"/>
      <c r="H244" s="4"/>
      <c r="I244" s="4"/>
      <c r="J244" s="3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1"/>
      <c r="B245" s="3"/>
      <c r="C245" s="4"/>
      <c r="D245" s="3"/>
      <c r="E245" s="4"/>
      <c r="F245" s="4"/>
      <c r="G245" s="4"/>
      <c r="H245" s="4"/>
      <c r="I245" s="4"/>
      <c r="J245" s="3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1"/>
      <c r="B246" s="3"/>
      <c r="C246" s="4"/>
      <c r="D246" s="3"/>
      <c r="E246" s="4"/>
      <c r="F246" s="4"/>
      <c r="G246" s="4"/>
      <c r="H246" s="4"/>
      <c r="I246" s="4"/>
      <c r="J246" s="3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1"/>
      <c r="B247" s="3"/>
      <c r="C247" s="4"/>
      <c r="D247" s="3"/>
      <c r="E247" s="4"/>
      <c r="F247" s="4"/>
      <c r="G247" s="4"/>
      <c r="H247" s="4"/>
      <c r="I247" s="4"/>
      <c r="J247" s="3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1"/>
      <c r="B248" s="3"/>
      <c r="C248" s="4"/>
      <c r="D248" s="3"/>
      <c r="E248" s="4"/>
      <c r="F248" s="4"/>
      <c r="G248" s="4"/>
      <c r="H248" s="4"/>
      <c r="I248" s="4"/>
      <c r="J248" s="3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1"/>
      <c r="B249" s="3"/>
      <c r="C249" s="4"/>
      <c r="D249" s="3"/>
      <c r="E249" s="4"/>
      <c r="F249" s="4"/>
      <c r="G249" s="4"/>
      <c r="H249" s="4"/>
      <c r="I249" s="4"/>
      <c r="J249" s="3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1"/>
      <c r="B250" s="3"/>
      <c r="C250" s="4"/>
      <c r="D250" s="3"/>
      <c r="E250" s="4"/>
      <c r="F250" s="4"/>
      <c r="G250" s="4"/>
      <c r="H250" s="4"/>
      <c r="I250" s="4"/>
      <c r="J250" s="3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1"/>
      <c r="B251" s="3"/>
      <c r="C251" s="4"/>
      <c r="D251" s="3"/>
      <c r="E251" s="4"/>
      <c r="F251" s="4"/>
      <c r="G251" s="4"/>
      <c r="H251" s="4"/>
      <c r="I251" s="4"/>
      <c r="J251" s="3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1"/>
      <c r="B252" s="3"/>
      <c r="C252" s="4"/>
      <c r="D252" s="3"/>
      <c r="E252" s="4"/>
      <c r="F252" s="4"/>
      <c r="G252" s="4"/>
      <c r="H252" s="4"/>
      <c r="I252" s="4"/>
      <c r="J252" s="3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1"/>
      <c r="B253" s="3"/>
      <c r="C253" s="4"/>
      <c r="D253" s="3"/>
      <c r="E253" s="4"/>
      <c r="F253" s="4"/>
      <c r="G253" s="4"/>
      <c r="H253" s="4"/>
      <c r="I253" s="4"/>
      <c r="J253" s="3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1"/>
      <c r="B254" s="3"/>
      <c r="C254" s="4"/>
      <c r="D254" s="3"/>
      <c r="E254" s="4"/>
      <c r="F254" s="4"/>
      <c r="G254" s="4"/>
      <c r="H254" s="4"/>
      <c r="I254" s="4"/>
      <c r="J254" s="3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1"/>
      <c r="B255" s="3"/>
      <c r="C255" s="4"/>
      <c r="D255" s="3"/>
      <c r="E255" s="4"/>
      <c r="F255" s="4"/>
      <c r="G255" s="4"/>
      <c r="H255" s="4"/>
      <c r="I255" s="4"/>
      <c r="J255" s="3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1"/>
      <c r="B256" s="3"/>
      <c r="C256" s="4"/>
      <c r="D256" s="3"/>
      <c r="E256" s="4"/>
      <c r="F256" s="4"/>
      <c r="G256" s="4"/>
      <c r="H256" s="4"/>
      <c r="I256" s="4"/>
      <c r="J256" s="3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1"/>
      <c r="B257" s="3"/>
      <c r="C257" s="4"/>
      <c r="D257" s="3"/>
      <c r="E257" s="4"/>
      <c r="F257" s="4"/>
      <c r="G257" s="4"/>
      <c r="H257" s="4"/>
      <c r="I257" s="4"/>
      <c r="J257" s="3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1"/>
      <c r="B258" s="3"/>
      <c r="C258" s="4"/>
      <c r="D258" s="3"/>
      <c r="E258" s="4"/>
      <c r="F258" s="4"/>
      <c r="G258" s="4"/>
      <c r="H258" s="4"/>
      <c r="I258" s="4"/>
      <c r="J258" s="3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1"/>
      <c r="B259" s="3"/>
      <c r="C259" s="4"/>
      <c r="D259" s="3"/>
      <c r="E259" s="4"/>
      <c r="F259" s="4"/>
      <c r="G259" s="4"/>
      <c r="H259" s="4"/>
      <c r="I259" s="4"/>
      <c r="J259" s="3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1"/>
      <c r="B260" s="3"/>
      <c r="C260" s="4"/>
      <c r="D260" s="3"/>
      <c r="E260" s="4"/>
      <c r="F260" s="4"/>
      <c r="G260" s="4"/>
      <c r="H260" s="4"/>
      <c r="I260" s="4"/>
      <c r="J260" s="3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1"/>
      <c r="B261" s="3"/>
      <c r="C261" s="4"/>
      <c r="D261" s="3"/>
      <c r="E261" s="4"/>
      <c r="F261" s="4"/>
      <c r="G261" s="4"/>
      <c r="H261" s="4"/>
      <c r="I261" s="4"/>
      <c r="J261" s="3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1"/>
      <c r="B262" s="3"/>
      <c r="C262" s="4"/>
      <c r="D262" s="3"/>
      <c r="E262" s="4"/>
      <c r="F262" s="4"/>
      <c r="G262" s="4"/>
      <c r="H262" s="4"/>
      <c r="I262" s="4"/>
      <c r="J262" s="3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1"/>
      <c r="B263" s="3"/>
      <c r="C263" s="4"/>
      <c r="D263" s="3"/>
      <c r="E263" s="4"/>
      <c r="F263" s="4"/>
      <c r="G263" s="4"/>
      <c r="H263" s="4"/>
      <c r="I263" s="4"/>
      <c r="J263" s="3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1"/>
      <c r="B264" s="3"/>
      <c r="C264" s="4"/>
      <c r="D264" s="3"/>
      <c r="E264" s="4"/>
      <c r="F264" s="4"/>
      <c r="G264" s="4"/>
      <c r="H264" s="4"/>
      <c r="I264" s="4"/>
      <c r="J264" s="3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1"/>
      <c r="B265" s="3"/>
      <c r="C265" s="4"/>
      <c r="D265" s="3"/>
      <c r="E265" s="4"/>
      <c r="F265" s="4"/>
      <c r="G265" s="4"/>
      <c r="H265" s="4"/>
      <c r="I265" s="4"/>
      <c r="J265" s="3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1"/>
      <c r="B266" s="3"/>
      <c r="C266" s="4"/>
      <c r="D266" s="3"/>
      <c r="E266" s="4"/>
      <c r="F266" s="4"/>
      <c r="G266" s="4"/>
      <c r="H266" s="4"/>
      <c r="I266" s="4"/>
      <c r="J266" s="3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1"/>
      <c r="B267" s="3"/>
      <c r="C267" s="4"/>
      <c r="D267" s="3"/>
      <c r="E267" s="4"/>
      <c r="F267" s="4"/>
      <c r="G267" s="4"/>
      <c r="H267" s="4"/>
      <c r="I267" s="4"/>
      <c r="J267" s="3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1"/>
      <c r="B268" s="3"/>
      <c r="C268" s="4"/>
      <c r="D268" s="3"/>
      <c r="E268" s="4"/>
      <c r="F268" s="4"/>
      <c r="G268" s="4"/>
      <c r="H268" s="4"/>
      <c r="I268" s="4"/>
      <c r="J268" s="3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1"/>
      <c r="B269" s="3"/>
      <c r="C269" s="4"/>
      <c r="D269" s="3"/>
      <c r="E269" s="4"/>
      <c r="F269" s="4"/>
      <c r="G269" s="4"/>
      <c r="H269" s="4"/>
      <c r="I269" s="4"/>
      <c r="J269" s="3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1"/>
      <c r="B270" s="3"/>
      <c r="C270" s="4"/>
      <c r="D270" s="3"/>
      <c r="E270" s="4"/>
      <c r="F270" s="4"/>
      <c r="G270" s="4"/>
      <c r="H270" s="4"/>
      <c r="I270" s="4"/>
      <c r="J270" s="3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1"/>
      <c r="B271" s="3"/>
      <c r="C271" s="4"/>
      <c r="D271" s="3"/>
      <c r="E271" s="4"/>
      <c r="F271" s="4"/>
      <c r="G271" s="4"/>
      <c r="H271" s="4"/>
      <c r="I271" s="4"/>
      <c r="J271" s="3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1"/>
      <c r="B272" s="3"/>
      <c r="C272" s="4"/>
      <c r="D272" s="3"/>
      <c r="E272" s="4"/>
      <c r="F272" s="4"/>
      <c r="G272" s="4"/>
      <c r="H272" s="4"/>
      <c r="I272" s="4"/>
      <c r="J272" s="3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1"/>
      <c r="B273" s="3"/>
      <c r="C273" s="4"/>
      <c r="D273" s="3"/>
      <c r="E273" s="4"/>
      <c r="F273" s="4"/>
      <c r="G273" s="4"/>
      <c r="H273" s="4"/>
      <c r="I273" s="4"/>
      <c r="J273" s="3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1"/>
      <c r="B274" s="3"/>
      <c r="C274" s="4"/>
      <c r="D274" s="3"/>
      <c r="E274" s="4"/>
      <c r="F274" s="4"/>
      <c r="G274" s="4"/>
      <c r="H274" s="4"/>
      <c r="I274" s="4"/>
      <c r="J274" s="3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1"/>
      <c r="B275" s="3"/>
      <c r="C275" s="4"/>
      <c r="D275" s="3"/>
      <c r="E275" s="4"/>
      <c r="F275" s="4"/>
      <c r="G275" s="4"/>
      <c r="H275" s="4"/>
      <c r="I275" s="4"/>
      <c r="J275" s="3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1"/>
      <c r="B276" s="3"/>
      <c r="C276" s="4"/>
      <c r="D276" s="3"/>
      <c r="E276" s="4"/>
      <c r="F276" s="4"/>
      <c r="G276" s="4"/>
      <c r="H276" s="4"/>
      <c r="I276" s="4"/>
      <c r="J276" s="3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1"/>
      <c r="B277" s="3"/>
      <c r="C277" s="4"/>
      <c r="D277" s="3"/>
      <c r="E277" s="4"/>
      <c r="F277" s="4"/>
      <c r="G277" s="4"/>
      <c r="H277" s="4"/>
      <c r="I277" s="4"/>
      <c r="J277" s="3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1"/>
      <c r="B278" s="3"/>
      <c r="C278" s="4"/>
      <c r="D278" s="3"/>
      <c r="E278" s="4"/>
      <c r="F278" s="4"/>
      <c r="G278" s="4"/>
      <c r="H278" s="4"/>
      <c r="I278" s="4"/>
      <c r="J278" s="3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1"/>
      <c r="B279" s="3"/>
      <c r="C279" s="4"/>
      <c r="D279" s="3"/>
      <c r="E279" s="4"/>
      <c r="F279" s="4"/>
      <c r="G279" s="4"/>
      <c r="H279" s="4"/>
      <c r="I279" s="4"/>
      <c r="J279" s="3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1"/>
      <c r="B280" s="3"/>
      <c r="C280" s="4"/>
      <c r="D280" s="3"/>
      <c r="E280" s="4"/>
      <c r="F280" s="4"/>
      <c r="G280" s="4"/>
      <c r="H280" s="4"/>
      <c r="I280" s="4"/>
      <c r="J280" s="3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1"/>
      <c r="B281" s="3"/>
      <c r="C281" s="4"/>
      <c r="D281" s="3"/>
      <c r="E281" s="4"/>
      <c r="F281" s="4"/>
      <c r="G281" s="4"/>
      <c r="H281" s="4"/>
      <c r="I281" s="4"/>
      <c r="J281" s="3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1"/>
      <c r="B282" s="3"/>
      <c r="C282" s="4"/>
      <c r="D282" s="3"/>
      <c r="E282" s="4"/>
      <c r="F282" s="4"/>
      <c r="G282" s="4"/>
      <c r="H282" s="4"/>
      <c r="I282" s="4"/>
      <c r="J282" s="3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1"/>
      <c r="B283" s="3"/>
      <c r="C283" s="4"/>
      <c r="D283" s="3"/>
      <c r="E283" s="4"/>
      <c r="F283" s="4"/>
      <c r="G283" s="4"/>
      <c r="H283" s="4"/>
      <c r="I283" s="4"/>
      <c r="J283" s="3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1"/>
      <c r="B284" s="3"/>
      <c r="C284" s="4"/>
      <c r="D284" s="3"/>
      <c r="E284" s="4"/>
      <c r="F284" s="4"/>
      <c r="G284" s="4"/>
      <c r="H284" s="4"/>
      <c r="I284" s="4"/>
      <c r="J284" s="3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1"/>
      <c r="B285" s="3"/>
      <c r="C285" s="4"/>
      <c r="D285" s="3"/>
      <c r="E285" s="4"/>
      <c r="F285" s="4"/>
      <c r="G285" s="4"/>
      <c r="H285" s="4"/>
      <c r="I285" s="4"/>
      <c r="J285" s="3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1"/>
      <c r="B286" s="3"/>
      <c r="C286" s="4"/>
      <c r="D286" s="3"/>
      <c r="E286" s="4"/>
      <c r="F286" s="4"/>
      <c r="G286" s="4"/>
      <c r="H286" s="4"/>
      <c r="I286" s="4"/>
      <c r="J286" s="3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1"/>
      <c r="B287" s="3"/>
      <c r="C287" s="4"/>
      <c r="D287" s="3"/>
      <c r="E287" s="4"/>
      <c r="F287" s="4"/>
      <c r="G287" s="4"/>
      <c r="H287" s="4"/>
      <c r="I287" s="4"/>
      <c r="J287" s="3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5">
    <mergeCell ref="A58:C58"/>
    <mergeCell ref="A61:L61"/>
    <mergeCell ref="A62:L62"/>
    <mergeCell ref="K64:K66"/>
    <mergeCell ref="K67:K75"/>
    <mergeCell ref="A76:C76"/>
    <mergeCell ref="D79:E79"/>
    <mergeCell ref="G79:H79"/>
    <mergeCell ref="A3:K3"/>
    <mergeCell ref="A4:K4"/>
    <mergeCell ref="K6:K39"/>
    <mergeCell ref="D10:D11"/>
    <mergeCell ref="A39:C39"/>
    <mergeCell ref="A43:F43"/>
    <mergeCell ref="A44:F44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0"/>
  <cols>
    <col customWidth="1" min="1" max="1" width="5.86"/>
    <col customWidth="1" min="2" max="2" width="29.43"/>
    <col customWidth="1" min="3" max="3" width="50.14"/>
    <col customWidth="1" min="4" max="4" width="9.14"/>
    <col customWidth="1" min="5" max="5" width="13.43"/>
    <col customWidth="1" min="6" max="6" width="15.86"/>
    <col customWidth="1" min="7" max="7" width="14.57"/>
    <col customWidth="1" min="8" max="8" width="13.29"/>
    <col customWidth="1" min="9" max="9" width="16.43"/>
    <col customWidth="1" min="10" max="10" width="14.0"/>
    <col customWidth="1" min="11" max="14" width="13.29"/>
    <col customWidth="1" min="15" max="15" width="13.43"/>
    <col customWidth="1" min="16" max="20" width="13.14"/>
    <col customWidth="1" min="21" max="21" width="12.71"/>
    <col customWidth="1" min="22" max="23" width="14.29"/>
    <col customWidth="1" min="24" max="24" width="15.43"/>
    <col customWidth="1" min="25" max="29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"/>
      <c r="Y1" s="2"/>
      <c r="Z1" s="2"/>
      <c r="AA1" s="2"/>
      <c r="AB1" s="2"/>
      <c r="AC1" s="2"/>
    </row>
    <row r="2" ht="24.0" customHeight="1">
      <c r="A2" s="13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2"/>
      <c r="Z2" s="2"/>
      <c r="AA2" s="2"/>
      <c r="AB2" s="2"/>
      <c r="AC2" s="2"/>
    </row>
    <row r="3">
      <c r="A3" s="23" t="s">
        <v>5</v>
      </c>
      <c r="B3" s="23" t="s">
        <v>6</v>
      </c>
      <c r="C3" s="23" t="s">
        <v>7</v>
      </c>
      <c r="D3" s="23" t="s">
        <v>8</v>
      </c>
      <c r="E3" s="23" t="s">
        <v>10</v>
      </c>
      <c r="F3" s="23" t="s">
        <v>11</v>
      </c>
      <c r="G3" s="23" t="s">
        <v>12</v>
      </c>
      <c r="H3" s="27">
        <v>46055.0</v>
      </c>
      <c r="I3" s="27">
        <v>46084.0</v>
      </c>
      <c r="J3" s="27">
        <v>46084.0</v>
      </c>
      <c r="K3" s="30">
        <v>46113.0</v>
      </c>
      <c r="L3" s="30">
        <v>46143.0</v>
      </c>
      <c r="M3" s="30">
        <v>46204.0</v>
      </c>
      <c r="N3" s="30">
        <v>46204.0</v>
      </c>
      <c r="O3" s="27">
        <v>46204.0</v>
      </c>
      <c r="P3" s="27">
        <v>46237.0</v>
      </c>
      <c r="Q3" s="27">
        <v>46266.0</v>
      </c>
      <c r="R3" s="27">
        <v>46296.0</v>
      </c>
      <c r="S3" s="27">
        <v>46328.0</v>
      </c>
      <c r="T3" s="27">
        <v>46357.0</v>
      </c>
      <c r="U3" s="27">
        <v>46388.0</v>
      </c>
      <c r="V3" s="34"/>
      <c r="W3" s="23" t="s">
        <v>17</v>
      </c>
      <c r="X3" s="23" t="s">
        <v>19</v>
      </c>
      <c r="Y3" s="5"/>
      <c r="Z3" s="5"/>
      <c r="AA3" s="5"/>
      <c r="AB3" s="5"/>
      <c r="AC3" s="5"/>
    </row>
    <row r="4">
      <c r="A4" s="51"/>
      <c r="B4" s="51"/>
      <c r="C4" s="51"/>
      <c r="D4" s="51"/>
      <c r="E4" s="51"/>
      <c r="F4" s="51"/>
      <c r="G4" s="51"/>
      <c r="H4" s="23" t="s">
        <v>33</v>
      </c>
      <c r="I4" s="23" t="s">
        <v>35</v>
      </c>
      <c r="J4" s="56" t="s">
        <v>36</v>
      </c>
      <c r="K4" s="34" t="s">
        <v>36</v>
      </c>
      <c r="L4" s="34" t="s">
        <v>40</v>
      </c>
      <c r="M4" s="34" t="s">
        <v>41</v>
      </c>
      <c r="N4" s="34" t="s">
        <v>41</v>
      </c>
      <c r="O4" s="59" t="s">
        <v>42</v>
      </c>
      <c r="P4" s="34" t="s">
        <v>43</v>
      </c>
      <c r="Q4" s="34" t="s">
        <v>44</v>
      </c>
      <c r="R4" s="34" t="s">
        <v>45</v>
      </c>
      <c r="S4" s="34" t="s">
        <v>46</v>
      </c>
      <c r="T4" s="34" t="s">
        <v>47</v>
      </c>
      <c r="U4" s="34" t="s">
        <v>48</v>
      </c>
      <c r="V4" s="34"/>
      <c r="W4" s="51"/>
      <c r="X4" s="51"/>
      <c r="Y4" s="2"/>
      <c r="Z4" s="2"/>
      <c r="AA4" s="2"/>
      <c r="AB4" s="2"/>
      <c r="AC4" s="2"/>
    </row>
    <row r="5">
      <c r="A5" s="4"/>
      <c r="B5" s="2"/>
      <c r="C5" s="4"/>
      <c r="D5" s="4"/>
      <c r="E5" s="4"/>
      <c r="F5" s="4"/>
      <c r="G5" s="4"/>
      <c r="H5" s="64" t="s">
        <v>51</v>
      </c>
      <c r="I5" s="46"/>
      <c r="J5" s="47"/>
      <c r="K5" s="66" t="s">
        <v>55</v>
      </c>
      <c r="L5" s="46"/>
      <c r="M5" s="46"/>
      <c r="N5" s="67"/>
      <c r="O5" s="67"/>
      <c r="P5" s="67"/>
      <c r="Q5" s="67"/>
      <c r="R5" s="67"/>
      <c r="S5" s="67"/>
      <c r="T5" s="67"/>
      <c r="U5" s="72"/>
      <c r="V5" s="4"/>
      <c r="W5" s="4"/>
      <c r="X5" s="3"/>
      <c r="Y5" s="2"/>
      <c r="Z5" s="2"/>
      <c r="AA5" s="2"/>
      <c r="AB5" s="2"/>
      <c r="AC5" s="2"/>
    </row>
    <row r="6">
      <c r="A6" s="79" t="s">
        <v>57</v>
      </c>
      <c r="B6" s="46"/>
      <c r="C6" s="46"/>
      <c r="D6" s="46"/>
      <c r="E6" s="46"/>
      <c r="F6" s="46"/>
      <c r="G6" s="46"/>
      <c r="H6" s="83"/>
      <c r="I6" s="85"/>
      <c r="J6" s="89"/>
      <c r="K6" s="92"/>
      <c r="L6" s="92"/>
      <c r="M6" s="92"/>
      <c r="N6" s="92"/>
      <c r="O6" s="94"/>
      <c r="P6" s="100"/>
      <c r="Q6" s="100"/>
      <c r="R6" s="100"/>
      <c r="S6" s="100"/>
      <c r="T6" s="100"/>
      <c r="U6" s="100"/>
      <c r="V6" s="110"/>
      <c r="W6" s="110"/>
      <c r="X6" s="113"/>
      <c r="Y6" s="2"/>
      <c r="Z6" s="2"/>
      <c r="AA6" s="2"/>
      <c r="AB6" s="2"/>
      <c r="AC6" s="2"/>
    </row>
    <row r="7">
      <c r="A7" s="135">
        <v>1.0</v>
      </c>
      <c r="B7" s="137" t="s">
        <v>69</v>
      </c>
      <c r="C7" s="138" t="s">
        <v>71</v>
      </c>
      <c r="D7" s="145">
        <v>22.0</v>
      </c>
      <c r="E7" s="149">
        <v>8000.0</v>
      </c>
      <c r="F7" s="153">
        <f t="shared" ref="F7:F17" si="1">E7*D7</f>
        <v>176000</v>
      </c>
      <c r="G7" s="156">
        <v>40.0</v>
      </c>
      <c r="H7" s="149">
        <v>8000.0</v>
      </c>
      <c r="I7" s="149">
        <v>8000.0</v>
      </c>
      <c r="J7" s="159" t="s">
        <v>82</v>
      </c>
      <c r="K7" s="149">
        <v>8000.0</v>
      </c>
      <c r="L7" s="149">
        <v>8000.0</v>
      </c>
      <c r="M7" s="163" t="s">
        <v>82</v>
      </c>
      <c r="N7" s="149">
        <v>8000.0</v>
      </c>
      <c r="O7" s="164" t="s">
        <v>82</v>
      </c>
      <c r="P7" s="165"/>
      <c r="Q7" s="165"/>
      <c r="R7" s="165"/>
      <c r="S7" s="165"/>
      <c r="T7" s="165"/>
      <c r="U7" s="166"/>
      <c r="V7" s="167"/>
      <c r="W7" s="168">
        <f t="shared" ref="W7:W21" si="2">SUM(H7:V7)</f>
        <v>40000</v>
      </c>
      <c r="X7" s="169">
        <f t="shared" ref="X7:X21" si="3">F7-W7</f>
        <v>136000</v>
      </c>
      <c r="Y7" s="2"/>
      <c r="Z7" s="2"/>
      <c r="AA7" s="2"/>
      <c r="AB7" s="2"/>
      <c r="AC7" s="2"/>
    </row>
    <row r="8">
      <c r="A8" s="170">
        <f t="shared" ref="A8:A17" si="4">A7+1</f>
        <v>2</v>
      </c>
      <c r="B8" s="137" t="s">
        <v>69</v>
      </c>
      <c r="C8" s="138" t="s">
        <v>85</v>
      </c>
      <c r="D8" s="145">
        <v>22.0</v>
      </c>
      <c r="E8" s="171">
        <v>6000.0</v>
      </c>
      <c r="F8" s="172">
        <f t="shared" si="1"/>
        <v>132000</v>
      </c>
      <c r="G8" s="156">
        <v>40.0</v>
      </c>
      <c r="H8" s="171">
        <v>6000.0</v>
      </c>
      <c r="I8" s="171">
        <v>6000.0</v>
      </c>
      <c r="J8" s="159" t="s">
        <v>82</v>
      </c>
      <c r="K8" s="171">
        <v>6000.0</v>
      </c>
      <c r="L8" s="171">
        <v>6000.0</v>
      </c>
      <c r="M8" s="171">
        <v>6000.0</v>
      </c>
      <c r="N8" s="159" t="s">
        <v>82</v>
      </c>
      <c r="O8" s="171">
        <v>6000.0</v>
      </c>
      <c r="P8" s="173"/>
      <c r="Q8" s="173"/>
      <c r="R8" s="173"/>
      <c r="S8" s="173"/>
      <c r="T8" s="173"/>
      <c r="U8" s="174"/>
      <c r="V8" s="175"/>
      <c r="W8" s="168">
        <f t="shared" si="2"/>
        <v>36000</v>
      </c>
      <c r="X8" s="169">
        <f t="shared" si="3"/>
        <v>96000</v>
      </c>
      <c r="Y8" s="2"/>
      <c r="Z8" s="2"/>
      <c r="AA8" s="2"/>
      <c r="AB8" s="2"/>
      <c r="AC8" s="2"/>
    </row>
    <row r="9">
      <c r="A9" s="170">
        <f t="shared" si="4"/>
        <v>3</v>
      </c>
      <c r="B9" s="137" t="s">
        <v>69</v>
      </c>
      <c r="C9" s="176" t="s">
        <v>86</v>
      </c>
      <c r="D9" s="145">
        <v>22.0</v>
      </c>
      <c r="E9" s="171">
        <v>6000.0</v>
      </c>
      <c r="F9" s="172">
        <f t="shared" si="1"/>
        <v>132000</v>
      </c>
      <c r="G9" s="177">
        <v>40.0</v>
      </c>
      <c r="H9" s="171">
        <v>6000.0</v>
      </c>
      <c r="I9" s="171">
        <v>6000.0</v>
      </c>
      <c r="J9" s="159" t="s">
        <v>82</v>
      </c>
      <c r="K9" s="171">
        <v>6000.0</v>
      </c>
      <c r="L9" s="171">
        <v>6000.0</v>
      </c>
      <c r="M9" s="171">
        <v>6000.0</v>
      </c>
      <c r="N9" s="159" t="s">
        <v>82</v>
      </c>
      <c r="O9" s="171">
        <v>6000.0</v>
      </c>
      <c r="P9" s="173"/>
      <c r="Q9" s="173"/>
      <c r="R9" s="173"/>
      <c r="S9" s="173"/>
      <c r="T9" s="173"/>
      <c r="U9" s="174"/>
      <c r="V9" s="167"/>
      <c r="W9" s="168">
        <f t="shared" si="2"/>
        <v>36000</v>
      </c>
      <c r="X9" s="169">
        <f t="shared" si="3"/>
        <v>96000</v>
      </c>
      <c r="Y9" s="2"/>
      <c r="Z9" s="2"/>
      <c r="AA9" s="2"/>
      <c r="AB9" s="2"/>
      <c r="AC9" s="2"/>
    </row>
    <row r="10">
      <c r="A10" s="170">
        <f t="shared" si="4"/>
        <v>4</v>
      </c>
      <c r="B10" s="137" t="s">
        <v>69</v>
      </c>
      <c r="C10" s="178" t="s">
        <v>87</v>
      </c>
      <c r="D10" s="145">
        <v>22.0</v>
      </c>
      <c r="E10" s="171">
        <v>4000.0</v>
      </c>
      <c r="F10" s="172">
        <f t="shared" si="1"/>
        <v>88000</v>
      </c>
      <c r="G10" s="177">
        <v>40.0</v>
      </c>
      <c r="H10" s="171">
        <v>4000.0</v>
      </c>
      <c r="I10" s="171">
        <v>4000.0</v>
      </c>
      <c r="J10" s="159" t="s">
        <v>82</v>
      </c>
      <c r="K10" s="171">
        <v>4000.0</v>
      </c>
      <c r="L10" s="171">
        <v>4000.0</v>
      </c>
      <c r="M10" s="171">
        <v>4000.0</v>
      </c>
      <c r="N10" s="159" t="s">
        <v>82</v>
      </c>
      <c r="O10" s="171">
        <v>4000.0</v>
      </c>
      <c r="P10" s="179"/>
      <c r="Q10" s="179"/>
      <c r="R10" s="179"/>
      <c r="S10" s="179"/>
      <c r="T10" s="179"/>
      <c r="U10" s="172"/>
      <c r="V10" s="180"/>
      <c r="W10" s="168">
        <f t="shared" si="2"/>
        <v>24000</v>
      </c>
      <c r="X10" s="169">
        <f t="shared" si="3"/>
        <v>64000</v>
      </c>
      <c r="Y10" s="2"/>
      <c r="Z10" s="2"/>
      <c r="AA10" s="2"/>
      <c r="AB10" s="2"/>
      <c r="AC10" s="2"/>
    </row>
    <row r="11">
      <c r="A11" s="170">
        <f t="shared" si="4"/>
        <v>5</v>
      </c>
      <c r="B11" s="137" t="s">
        <v>69</v>
      </c>
      <c r="C11" s="178" t="s">
        <v>88</v>
      </c>
      <c r="D11" s="145">
        <v>22.0</v>
      </c>
      <c r="E11" s="171">
        <v>4000.0</v>
      </c>
      <c r="F11" s="172">
        <f t="shared" si="1"/>
        <v>88000</v>
      </c>
      <c r="G11" s="177">
        <v>40.0</v>
      </c>
      <c r="H11" s="171">
        <v>4000.0</v>
      </c>
      <c r="I11" s="171">
        <v>4000.0</v>
      </c>
      <c r="J11" s="159" t="s">
        <v>82</v>
      </c>
      <c r="K11" s="171">
        <v>4000.0</v>
      </c>
      <c r="L11" s="171">
        <v>4000.0</v>
      </c>
      <c r="M11" s="171">
        <v>4000.0</v>
      </c>
      <c r="N11" s="159" t="s">
        <v>82</v>
      </c>
      <c r="O11" s="171">
        <v>4000.0</v>
      </c>
      <c r="P11" s="179"/>
      <c r="Q11" s="179"/>
      <c r="R11" s="179"/>
      <c r="S11" s="179"/>
      <c r="T11" s="179"/>
      <c r="U11" s="172"/>
      <c r="V11" s="180"/>
      <c r="W11" s="168">
        <f t="shared" si="2"/>
        <v>24000</v>
      </c>
      <c r="X11" s="169">
        <f t="shared" si="3"/>
        <v>64000</v>
      </c>
      <c r="Y11" s="2"/>
      <c r="Z11" s="2"/>
      <c r="AA11" s="2"/>
      <c r="AB11" s="2"/>
      <c r="AC11" s="2"/>
    </row>
    <row r="12">
      <c r="A12" s="170">
        <f t="shared" si="4"/>
        <v>6</v>
      </c>
      <c r="B12" s="137" t="s">
        <v>69</v>
      </c>
      <c r="C12" s="178" t="s">
        <v>89</v>
      </c>
      <c r="D12" s="145">
        <v>22.0</v>
      </c>
      <c r="E12" s="171">
        <v>4000.0</v>
      </c>
      <c r="F12" s="172">
        <f t="shared" si="1"/>
        <v>88000</v>
      </c>
      <c r="G12" s="177">
        <v>40.0</v>
      </c>
      <c r="H12" s="171">
        <v>4000.0</v>
      </c>
      <c r="I12" s="171">
        <v>4000.0</v>
      </c>
      <c r="J12" s="181">
        <v>5500.0</v>
      </c>
      <c r="K12" s="171">
        <v>4000.0</v>
      </c>
      <c r="L12" s="171">
        <v>4000.0</v>
      </c>
      <c r="M12" s="171">
        <v>4000.0</v>
      </c>
      <c r="N12" s="159" t="s">
        <v>82</v>
      </c>
      <c r="O12" s="171">
        <v>4000.0</v>
      </c>
      <c r="P12" s="179"/>
      <c r="Q12" s="179"/>
      <c r="R12" s="179"/>
      <c r="S12" s="179"/>
      <c r="T12" s="179"/>
      <c r="U12" s="172"/>
      <c r="V12" s="180"/>
      <c r="W12" s="168">
        <f t="shared" si="2"/>
        <v>29500</v>
      </c>
      <c r="X12" s="169">
        <f t="shared" si="3"/>
        <v>58500</v>
      </c>
      <c r="Y12" s="2"/>
      <c r="Z12" s="2"/>
      <c r="AA12" s="2"/>
      <c r="AB12" s="2"/>
      <c r="AC12" s="2"/>
    </row>
    <row r="13">
      <c r="A13" s="170">
        <f t="shared" si="4"/>
        <v>7</v>
      </c>
      <c r="B13" s="137" t="s">
        <v>69</v>
      </c>
      <c r="C13" s="178" t="s">
        <v>90</v>
      </c>
      <c r="D13" s="145">
        <v>22.0</v>
      </c>
      <c r="E13" s="181">
        <v>3000.0</v>
      </c>
      <c r="F13" s="172">
        <f t="shared" si="1"/>
        <v>66000</v>
      </c>
      <c r="G13" s="177">
        <v>80.0</v>
      </c>
      <c r="H13" s="181">
        <v>3000.0</v>
      </c>
      <c r="I13" s="181">
        <v>3000.0</v>
      </c>
      <c r="J13" s="183" t="s">
        <v>82</v>
      </c>
      <c r="K13" s="181">
        <v>3000.0</v>
      </c>
      <c r="L13" s="181">
        <v>3000.0</v>
      </c>
      <c r="M13" s="181">
        <v>3000.0</v>
      </c>
      <c r="N13" s="159" t="s">
        <v>82</v>
      </c>
      <c r="O13" s="181">
        <v>3000.0</v>
      </c>
      <c r="P13" s="179"/>
      <c r="Q13" s="179"/>
      <c r="R13" s="179"/>
      <c r="S13" s="179"/>
      <c r="T13" s="179"/>
      <c r="U13" s="172"/>
      <c r="V13" s="180"/>
      <c r="W13" s="168">
        <f t="shared" si="2"/>
        <v>18000</v>
      </c>
      <c r="X13" s="169">
        <f t="shared" si="3"/>
        <v>48000</v>
      </c>
      <c r="Y13" s="2"/>
      <c r="Z13" s="2"/>
      <c r="AA13" s="2"/>
      <c r="AB13" s="2"/>
      <c r="AC13" s="2"/>
    </row>
    <row r="14">
      <c r="A14" s="170">
        <f t="shared" si="4"/>
        <v>8</v>
      </c>
      <c r="B14" s="137" t="s">
        <v>69</v>
      </c>
      <c r="C14" s="178" t="s">
        <v>91</v>
      </c>
      <c r="D14" s="145">
        <v>22.0</v>
      </c>
      <c r="E14" s="181">
        <v>3000.0</v>
      </c>
      <c r="F14" s="172">
        <f t="shared" si="1"/>
        <v>66000</v>
      </c>
      <c r="G14" s="177">
        <v>80.0</v>
      </c>
      <c r="H14" s="181">
        <v>3000.0</v>
      </c>
      <c r="I14" s="181">
        <v>3000.0</v>
      </c>
      <c r="J14" s="183" t="s">
        <v>82</v>
      </c>
      <c r="K14" s="181">
        <v>3000.0</v>
      </c>
      <c r="L14" s="181">
        <v>3000.0</v>
      </c>
      <c r="M14" s="181">
        <v>3000.0</v>
      </c>
      <c r="N14" s="159" t="s">
        <v>82</v>
      </c>
      <c r="O14" s="181">
        <v>3000.0</v>
      </c>
      <c r="P14" s="179"/>
      <c r="Q14" s="179"/>
      <c r="R14" s="179"/>
      <c r="S14" s="179"/>
      <c r="T14" s="179"/>
      <c r="U14" s="172"/>
      <c r="V14" s="180"/>
      <c r="W14" s="168">
        <f t="shared" si="2"/>
        <v>18000</v>
      </c>
      <c r="X14" s="169">
        <f t="shared" si="3"/>
        <v>48000</v>
      </c>
      <c r="Y14" s="2"/>
      <c r="Z14" s="2"/>
      <c r="AA14" s="2"/>
      <c r="AB14" s="2"/>
      <c r="AC14" s="2"/>
    </row>
    <row r="15">
      <c r="A15" s="170">
        <f t="shared" si="4"/>
        <v>9</v>
      </c>
      <c r="B15" s="137" t="s">
        <v>69</v>
      </c>
      <c r="C15" s="178" t="s">
        <v>93</v>
      </c>
      <c r="D15" s="145">
        <v>22.0</v>
      </c>
      <c r="E15" s="171">
        <v>5000.0</v>
      </c>
      <c r="F15" s="172">
        <f t="shared" si="1"/>
        <v>110000</v>
      </c>
      <c r="G15" s="177">
        <v>128.0</v>
      </c>
      <c r="H15" s="171">
        <v>5000.0</v>
      </c>
      <c r="I15" s="171">
        <v>5000.0</v>
      </c>
      <c r="J15" s="183" t="s">
        <v>82</v>
      </c>
      <c r="K15" s="171">
        <v>5000.0</v>
      </c>
      <c r="L15" s="171">
        <v>5000.0</v>
      </c>
      <c r="M15" s="171">
        <v>5000.0</v>
      </c>
      <c r="N15" s="159" t="s">
        <v>82</v>
      </c>
      <c r="O15" s="171">
        <v>5000.0</v>
      </c>
      <c r="P15" s="179"/>
      <c r="Q15" s="179"/>
      <c r="R15" s="179"/>
      <c r="S15" s="179"/>
      <c r="T15" s="179"/>
      <c r="U15" s="172"/>
      <c r="V15" s="180"/>
      <c r="W15" s="168">
        <f t="shared" si="2"/>
        <v>30000</v>
      </c>
      <c r="X15" s="169">
        <f t="shared" si="3"/>
        <v>80000</v>
      </c>
      <c r="Y15" s="2"/>
      <c r="Z15" s="2"/>
      <c r="AA15" s="2"/>
      <c r="AB15" s="2"/>
      <c r="AC15" s="2"/>
    </row>
    <row r="16">
      <c r="A16" s="170">
        <f t="shared" si="4"/>
        <v>10</v>
      </c>
      <c r="B16" s="137" t="s">
        <v>69</v>
      </c>
      <c r="C16" s="178" t="s">
        <v>94</v>
      </c>
      <c r="D16" s="145">
        <v>22.0</v>
      </c>
      <c r="E16" s="171">
        <v>5000.0</v>
      </c>
      <c r="F16" s="172">
        <f t="shared" si="1"/>
        <v>110000</v>
      </c>
      <c r="G16" s="177">
        <v>40.0</v>
      </c>
      <c r="H16" s="171">
        <v>5000.0</v>
      </c>
      <c r="I16" s="171">
        <v>5000.0</v>
      </c>
      <c r="J16" s="183" t="s">
        <v>82</v>
      </c>
      <c r="K16" s="171">
        <v>5000.0</v>
      </c>
      <c r="L16" s="171">
        <v>5000.0</v>
      </c>
      <c r="M16" s="171">
        <v>5000.0</v>
      </c>
      <c r="N16" s="159" t="s">
        <v>82</v>
      </c>
      <c r="O16" s="171">
        <v>5000.0</v>
      </c>
      <c r="P16" s="179"/>
      <c r="Q16" s="179"/>
      <c r="R16" s="179"/>
      <c r="S16" s="179"/>
      <c r="T16" s="179"/>
      <c r="U16" s="172"/>
      <c r="V16" s="180"/>
      <c r="W16" s="168">
        <f t="shared" si="2"/>
        <v>30000</v>
      </c>
      <c r="X16" s="169">
        <f t="shared" si="3"/>
        <v>80000</v>
      </c>
      <c r="Y16" s="2"/>
      <c r="Z16" s="2"/>
      <c r="AA16" s="2"/>
      <c r="AB16" s="2"/>
      <c r="AC16" s="2"/>
    </row>
    <row r="17">
      <c r="A17" s="170">
        <f t="shared" si="4"/>
        <v>11</v>
      </c>
      <c r="B17" s="137" t="s">
        <v>69</v>
      </c>
      <c r="C17" s="178" t="s">
        <v>95</v>
      </c>
      <c r="D17" s="145">
        <v>22.0</v>
      </c>
      <c r="E17" s="181">
        <v>4500.0</v>
      </c>
      <c r="F17" s="172">
        <f t="shared" si="1"/>
        <v>99000</v>
      </c>
      <c r="G17" s="177">
        <v>40.0</v>
      </c>
      <c r="H17" s="181">
        <v>4500.0</v>
      </c>
      <c r="I17" s="181">
        <v>4500.0</v>
      </c>
      <c r="J17" s="183" t="s">
        <v>82</v>
      </c>
      <c r="K17" s="181">
        <v>4500.0</v>
      </c>
      <c r="L17" s="181">
        <v>4500.0</v>
      </c>
      <c r="M17" s="181">
        <v>4500.0</v>
      </c>
      <c r="N17" s="159" t="s">
        <v>82</v>
      </c>
      <c r="O17" s="181">
        <v>4500.0</v>
      </c>
      <c r="P17" s="179"/>
      <c r="Q17" s="179"/>
      <c r="R17" s="179"/>
      <c r="S17" s="179"/>
      <c r="T17" s="179"/>
      <c r="U17" s="172"/>
      <c r="V17" s="180"/>
      <c r="W17" s="168">
        <f t="shared" si="2"/>
        <v>27000</v>
      </c>
      <c r="X17" s="169">
        <f t="shared" si="3"/>
        <v>72000</v>
      </c>
      <c r="Y17" s="2"/>
      <c r="Z17" s="2"/>
      <c r="AA17" s="2"/>
      <c r="AB17" s="2"/>
      <c r="AC17" s="2"/>
    </row>
    <row r="18">
      <c r="A18" s="170">
        <v>12.0</v>
      </c>
      <c r="B18" s="137" t="s">
        <v>69</v>
      </c>
      <c r="C18" s="176" t="s">
        <v>96</v>
      </c>
      <c r="D18" s="145">
        <v>22.0</v>
      </c>
      <c r="E18" s="181">
        <v>2300.0</v>
      </c>
      <c r="F18" s="172">
        <f t="shared" ref="F18:F21" si="5">D18*E18</f>
        <v>50600</v>
      </c>
      <c r="G18" s="177">
        <v>60.0</v>
      </c>
      <c r="H18" s="172">
        <v>2300.0</v>
      </c>
      <c r="I18" s="181">
        <v>2300.0</v>
      </c>
      <c r="J18" s="183" t="s">
        <v>82</v>
      </c>
      <c r="K18" s="181">
        <v>2300.0</v>
      </c>
      <c r="L18" s="181">
        <v>2300.0</v>
      </c>
      <c r="M18" s="181">
        <v>2300.0</v>
      </c>
      <c r="N18" s="159" t="s">
        <v>82</v>
      </c>
      <c r="O18" s="181">
        <v>2300.0</v>
      </c>
      <c r="P18" s="179"/>
      <c r="Q18" s="179"/>
      <c r="R18" s="179"/>
      <c r="S18" s="179"/>
      <c r="T18" s="179"/>
      <c r="U18" s="172"/>
      <c r="V18" s="180"/>
      <c r="W18" s="168">
        <f t="shared" si="2"/>
        <v>13800</v>
      </c>
      <c r="X18" s="169">
        <f t="shared" si="3"/>
        <v>36800</v>
      </c>
      <c r="Y18" s="2"/>
      <c r="Z18" s="2"/>
      <c r="AA18" s="2"/>
      <c r="AB18" s="2"/>
      <c r="AC18" s="2"/>
    </row>
    <row r="19">
      <c r="A19" s="194">
        <v>13.0</v>
      </c>
      <c r="B19" s="137" t="s">
        <v>69</v>
      </c>
      <c r="C19" s="176" t="s">
        <v>101</v>
      </c>
      <c r="D19" s="138">
        <v>18.0</v>
      </c>
      <c r="E19" s="181">
        <v>2300.0</v>
      </c>
      <c r="F19" s="172">
        <f t="shared" si="5"/>
        <v>41400</v>
      </c>
      <c r="G19" s="138">
        <v>60.0</v>
      </c>
      <c r="H19" s="172"/>
      <c r="I19" s="181"/>
      <c r="J19" s="198"/>
      <c r="K19" s="181"/>
      <c r="L19" s="181"/>
      <c r="M19" s="181">
        <v>2300.0</v>
      </c>
      <c r="N19" s="159" t="s">
        <v>82</v>
      </c>
      <c r="O19" s="181">
        <v>2300.0</v>
      </c>
      <c r="P19" s="179"/>
      <c r="Q19" s="179"/>
      <c r="R19" s="179"/>
      <c r="S19" s="179"/>
      <c r="T19" s="179"/>
      <c r="U19" s="172"/>
      <c r="V19" s="201"/>
      <c r="W19" s="168">
        <f t="shared" si="2"/>
        <v>4600</v>
      </c>
      <c r="X19" s="169">
        <f t="shared" si="3"/>
        <v>36800</v>
      </c>
      <c r="Y19" s="2"/>
      <c r="Z19" s="2"/>
      <c r="AA19" s="2"/>
      <c r="AB19" s="2"/>
      <c r="AC19" s="2"/>
    </row>
    <row r="20">
      <c r="A20" s="170">
        <v>14.0</v>
      </c>
      <c r="B20" s="137" t="s">
        <v>69</v>
      </c>
      <c r="C20" s="176" t="s">
        <v>105</v>
      </c>
      <c r="D20" s="138">
        <v>18.0</v>
      </c>
      <c r="E20" s="181">
        <v>2300.0</v>
      </c>
      <c r="F20" s="172">
        <f t="shared" si="5"/>
        <v>41400</v>
      </c>
      <c r="G20" s="138">
        <v>60.0</v>
      </c>
      <c r="H20" s="172"/>
      <c r="I20" s="181"/>
      <c r="J20" s="198"/>
      <c r="K20" s="181"/>
      <c r="L20" s="181"/>
      <c r="M20" s="181">
        <v>2300.0</v>
      </c>
      <c r="N20" s="159" t="s">
        <v>82</v>
      </c>
      <c r="O20" s="181">
        <v>2300.0</v>
      </c>
      <c r="P20" s="179"/>
      <c r="Q20" s="179"/>
      <c r="R20" s="179"/>
      <c r="S20" s="179"/>
      <c r="T20" s="179"/>
      <c r="U20" s="172"/>
      <c r="V20" s="201"/>
      <c r="W20" s="168">
        <f t="shared" si="2"/>
        <v>4600</v>
      </c>
      <c r="X20" s="169">
        <f t="shared" si="3"/>
        <v>36800</v>
      </c>
      <c r="Y20" s="2"/>
      <c r="Z20" s="2"/>
      <c r="AA20" s="2"/>
      <c r="AB20" s="2"/>
      <c r="AC20" s="2"/>
    </row>
    <row r="21" ht="15.75" customHeight="1">
      <c r="A21" s="194">
        <v>15.0</v>
      </c>
      <c r="B21" s="137" t="s">
        <v>69</v>
      </c>
      <c r="C21" s="213" t="s">
        <v>108</v>
      </c>
      <c r="D21" s="138">
        <v>18.0</v>
      </c>
      <c r="E21" s="181">
        <v>2300.0</v>
      </c>
      <c r="F21" s="172">
        <f t="shared" si="5"/>
        <v>41400</v>
      </c>
      <c r="G21" s="138">
        <v>60.0</v>
      </c>
      <c r="H21" s="172"/>
      <c r="I21" s="181"/>
      <c r="J21" s="198"/>
      <c r="K21" s="181"/>
      <c r="L21" s="181"/>
      <c r="M21" s="181">
        <v>2300.0</v>
      </c>
      <c r="N21" s="159" t="s">
        <v>82</v>
      </c>
      <c r="O21" s="181">
        <v>2300.0</v>
      </c>
      <c r="P21" s="179"/>
      <c r="Q21" s="179"/>
      <c r="R21" s="179"/>
      <c r="S21" s="179"/>
      <c r="T21" s="179"/>
      <c r="U21" s="172"/>
      <c r="V21" s="201"/>
      <c r="W21" s="168">
        <f t="shared" si="2"/>
        <v>4600</v>
      </c>
      <c r="X21" s="169">
        <f t="shared" si="3"/>
        <v>36800</v>
      </c>
      <c r="Y21" s="2"/>
      <c r="Z21" s="2"/>
      <c r="AA21" s="2"/>
      <c r="AB21" s="2"/>
      <c r="AC21" s="2"/>
    </row>
    <row r="22" ht="15.75" customHeight="1">
      <c r="A22" s="217" t="s">
        <v>92</v>
      </c>
      <c r="B22" s="218"/>
      <c r="C22" s="218"/>
      <c r="D22" s="218"/>
      <c r="E22" s="220">
        <f t="shared" ref="E22:F22" si="6">SUM(E7:E21)</f>
        <v>61700</v>
      </c>
      <c r="F22" s="220">
        <f t="shared" si="6"/>
        <v>1329800</v>
      </c>
      <c r="G22" s="222"/>
      <c r="H22" s="224">
        <f t="shared" ref="H22:X22" si="7">SUM(H7:H21)</f>
        <v>54800</v>
      </c>
      <c r="I22" s="224">
        <f t="shared" si="7"/>
        <v>54800</v>
      </c>
      <c r="J22" s="224">
        <f t="shared" si="7"/>
        <v>5500</v>
      </c>
      <c r="K22" s="224">
        <f t="shared" si="7"/>
        <v>54800</v>
      </c>
      <c r="L22" s="224">
        <f t="shared" si="7"/>
        <v>54800</v>
      </c>
      <c r="M22" s="224">
        <f t="shared" si="7"/>
        <v>53700</v>
      </c>
      <c r="N22" s="224">
        <f t="shared" si="7"/>
        <v>8000</v>
      </c>
      <c r="O22" s="224">
        <f t="shared" si="7"/>
        <v>53700</v>
      </c>
      <c r="P22" s="224">
        <f t="shared" si="7"/>
        <v>0</v>
      </c>
      <c r="Q22" s="224">
        <f t="shared" si="7"/>
        <v>0</v>
      </c>
      <c r="R22" s="224">
        <f t="shared" si="7"/>
        <v>0</v>
      </c>
      <c r="S22" s="224">
        <f t="shared" si="7"/>
        <v>0</v>
      </c>
      <c r="T22" s="224">
        <f t="shared" si="7"/>
        <v>0</v>
      </c>
      <c r="U22" s="224">
        <f t="shared" si="7"/>
        <v>0</v>
      </c>
      <c r="V22" s="224">
        <f t="shared" si="7"/>
        <v>0</v>
      </c>
      <c r="W22" s="220">
        <f t="shared" si="7"/>
        <v>340100</v>
      </c>
      <c r="X22" s="231">
        <f t="shared" si="7"/>
        <v>989700</v>
      </c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5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5"/>
      <c r="Y24" s="2"/>
      <c r="Z24" s="2"/>
      <c r="AA24" s="2"/>
      <c r="AB24" s="2"/>
      <c r="AC24" s="2"/>
    </row>
    <row r="25" ht="15.75" customHeight="1">
      <c r="A25" s="79" t="s">
        <v>118</v>
      </c>
      <c r="B25" s="46"/>
      <c r="C25" s="46"/>
      <c r="D25" s="46"/>
      <c r="E25" s="46"/>
      <c r="F25" s="46"/>
      <c r="G25" s="46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10"/>
      <c r="W25" s="110"/>
      <c r="X25" s="113"/>
      <c r="Y25" s="2"/>
      <c r="Z25" s="2"/>
      <c r="AA25" s="2"/>
      <c r="AB25" s="2"/>
      <c r="AC25" s="2"/>
    </row>
    <row r="26" ht="15.75" customHeight="1">
      <c r="A26" s="135">
        <v>1.0</v>
      </c>
      <c r="B26" s="238" t="s">
        <v>120</v>
      </c>
      <c r="C26" s="135" t="s">
        <v>122</v>
      </c>
      <c r="D26" s="145">
        <v>22.0</v>
      </c>
      <c r="E26" s="241">
        <v>3200.0</v>
      </c>
      <c r="F26" s="241">
        <f t="shared" ref="F26:F27" si="8">E26*D26</f>
        <v>70400</v>
      </c>
      <c r="G26" s="145">
        <v>80.0</v>
      </c>
      <c r="H26" s="241">
        <v>3200.0</v>
      </c>
      <c r="I26" s="241">
        <v>3200.0</v>
      </c>
      <c r="J26" s="244" t="s">
        <v>82</v>
      </c>
      <c r="K26" s="241">
        <v>3200.0</v>
      </c>
      <c r="L26" s="241">
        <v>3200.0</v>
      </c>
      <c r="M26" s="241">
        <v>3200.0</v>
      </c>
      <c r="N26" s="163" t="s">
        <v>82</v>
      </c>
      <c r="O26" s="241">
        <v>3200.0</v>
      </c>
      <c r="P26" s="246"/>
      <c r="Q26" s="246"/>
      <c r="R26" s="246"/>
      <c r="S26" s="153"/>
      <c r="T26" s="153"/>
      <c r="U26" s="153"/>
      <c r="V26" s="180"/>
      <c r="W26" s="168">
        <f t="shared" ref="W26:W27" si="9">SUM(H26:V26)</f>
        <v>19200</v>
      </c>
      <c r="X26" s="252">
        <f t="shared" ref="X26:X27" si="10">F26-W26</f>
        <v>51200</v>
      </c>
      <c r="Y26" s="2"/>
      <c r="Z26" s="2"/>
      <c r="AA26" s="2"/>
      <c r="AB26" s="2"/>
      <c r="AC26" s="2"/>
    </row>
    <row r="27" ht="15.75" customHeight="1">
      <c r="A27" s="170">
        <f>A26+1</f>
        <v>2</v>
      </c>
      <c r="B27" s="170" t="s">
        <v>127</v>
      </c>
      <c r="C27" s="170" t="s">
        <v>128</v>
      </c>
      <c r="D27" s="138">
        <v>22.0</v>
      </c>
      <c r="E27" s="181">
        <v>2800.0</v>
      </c>
      <c r="F27" s="181">
        <f t="shared" si="8"/>
        <v>61600</v>
      </c>
      <c r="G27" s="138">
        <v>80.0</v>
      </c>
      <c r="H27" s="181">
        <v>2800.0</v>
      </c>
      <c r="I27" s="181">
        <v>2800.0</v>
      </c>
      <c r="J27" s="198" t="s">
        <v>82</v>
      </c>
      <c r="K27" s="181">
        <v>2800.0</v>
      </c>
      <c r="L27" s="181">
        <v>2800.0</v>
      </c>
      <c r="M27" s="181">
        <v>2800.0</v>
      </c>
      <c r="N27" s="255" t="s">
        <v>82</v>
      </c>
      <c r="O27" s="181">
        <v>2800.0</v>
      </c>
      <c r="P27" s="179"/>
      <c r="Q27" s="179"/>
      <c r="R27" s="179"/>
      <c r="S27" s="172"/>
      <c r="T27" s="172"/>
      <c r="U27" s="172"/>
      <c r="V27" s="180"/>
      <c r="W27" s="168">
        <f t="shared" si="9"/>
        <v>16800</v>
      </c>
      <c r="X27" s="252">
        <f t="shared" si="10"/>
        <v>44800</v>
      </c>
      <c r="Y27" s="2"/>
      <c r="Z27" s="2"/>
      <c r="AA27" s="2"/>
      <c r="AB27" s="2"/>
      <c r="AC27" s="2"/>
    </row>
    <row r="28" ht="15.75" customHeight="1">
      <c r="A28" s="217" t="s">
        <v>92</v>
      </c>
      <c r="B28" s="218"/>
      <c r="C28" s="218"/>
      <c r="D28" s="218"/>
      <c r="E28" s="258">
        <f t="shared" ref="E28:F28" si="11">SUM(E26:E27)</f>
        <v>6000</v>
      </c>
      <c r="F28" s="258">
        <f t="shared" si="11"/>
        <v>132000</v>
      </c>
      <c r="G28" s="260"/>
      <c r="H28" s="263">
        <f t="shared" ref="H28:L28" si="12">SUM(H26:H27)</f>
        <v>6000</v>
      </c>
      <c r="I28" s="263">
        <f t="shared" si="12"/>
        <v>6000</v>
      </c>
      <c r="J28" s="258">
        <f t="shared" si="12"/>
        <v>0</v>
      </c>
      <c r="K28" s="263">
        <f t="shared" si="12"/>
        <v>6000</v>
      </c>
      <c r="L28" s="263">
        <f t="shared" si="12"/>
        <v>6000</v>
      </c>
      <c r="M28" s="258"/>
      <c r="N28" s="258">
        <f t="shared" ref="N28:X28" si="13">SUM(N26:N27)</f>
        <v>0</v>
      </c>
      <c r="O28" s="258">
        <f t="shared" si="13"/>
        <v>6000</v>
      </c>
      <c r="P28" s="258">
        <f t="shared" si="13"/>
        <v>0</v>
      </c>
      <c r="Q28" s="258">
        <f t="shared" si="13"/>
        <v>0</v>
      </c>
      <c r="R28" s="258">
        <f t="shared" si="13"/>
        <v>0</v>
      </c>
      <c r="S28" s="258">
        <f t="shared" si="13"/>
        <v>0</v>
      </c>
      <c r="T28" s="258">
        <f t="shared" si="13"/>
        <v>0</v>
      </c>
      <c r="U28" s="258">
        <f t="shared" si="13"/>
        <v>0</v>
      </c>
      <c r="V28" s="258">
        <f t="shared" si="13"/>
        <v>0</v>
      </c>
      <c r="W28" s="258">
        <f t="shared" si="13"/>
        <v>36000</v>
      </c>
      <c r="X28" s="271">
        <f t="shared" si="13"/>
        <v>96000</v>
      </c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 t="s">
        <v>131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5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5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5"/>
      <c r="E31" s="278"/>
      <c r="F31" s="2"/>
      <c r="G31" s="2"/>
      <c r="H31" s="2"/>
      <c r="I31" s="279"/>
      <c r="J31" s="27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5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5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78">
        <v>1229600.0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5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78">
        <v>770800.0</v>
      </c>
      <c r="G34" s="278">
        <f>F35-F22</f>
        <v>670600</v>
      </c>
      <c r="H34" s="2"/>
      <c r="I34" s="2"/>
      <c r="J34" s="27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5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78">
        <f>F33+F34</f>
        <v>2000400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5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7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5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5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5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5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5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5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5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5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5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5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5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5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5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5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5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5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5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5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5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5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5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5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5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5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5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5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5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5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5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5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5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5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5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5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5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5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5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5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5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5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5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5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5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5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5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5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5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5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5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5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5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5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5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5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5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5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5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5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5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5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5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5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5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5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5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5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5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5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5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5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5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5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5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5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5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5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5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5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5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5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5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5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5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5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5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5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5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5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5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5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5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5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5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5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5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5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5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5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5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5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5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5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5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5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5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5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5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5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5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5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5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5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5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5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5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5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5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5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5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5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5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5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5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5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5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5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5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5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5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5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5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5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5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5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5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5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5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5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5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5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5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5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5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5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5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5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5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5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5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5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5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5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5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5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5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5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5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5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5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5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5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5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5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5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5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5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5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5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5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5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5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5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5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5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5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5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5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5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5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5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5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5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5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5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5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5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5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5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5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5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5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5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5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5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5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5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5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5"/>
      <c r="Y235" s="2"/>
      <c r="Z235" s="2"/>
      <c r="AA235" s="2"/>
      <c r="AB235" s="2"/>
      <c r="AC235" s="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G3:G4"/>
    <mergeCell ref="W3:W4"/>
    <mergeCell ref="H5:J5"/>
    <mergeCell ref="K5:M5"/>
    <mergeCell ref="A6:G6"/>
    <mergeCell ref="A22:D22"/>
    <mergeCell ref="A25:G25"/>
    <mergeCell ref="A28:D28"/>
    <mergeCell ref="A2:X2"/>
    <mergeCell ref="A3:A4"/>
    <mergeCell ref="B3:B4"/>
    <mergeCell ref="C3:C4"/>
    <mergeCell ref="D3:D4"/>
    <mergeCell ref="E3:E4"/>
    <mergeCell ref="F3:F4"/>
    <mergeCell ref="X3:X4"/>
  </mergeCells>
  <printOptions/>
  <pageMargins bottom="0.787401575" footer="0.0" header="0.0" left="0.511811024" right="0.511811024" top="0.7874015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7.14"/>
    <col customWidth="1" min="2" max="2" width="20.86"/>
    <col customWidth="1" min="3" max="3" width="14.29"/>
    <col customWidth="1" min="4" max="4" width="5.86"/>
    <col customWidth="1" min="5" max="5" width="71.86"/>
    <col customWidth="1" min="6" max="6" width="19.57"/>
    <col customWidth="1" min="7" max="7" width="19.71"/>
    <col customWidth="1" min="8" max="8" width="7.57"/>
    <col customWidth="1" min="9" max="9" width="74.14"/>
    <col customWidth="1" min="10" max="10" width="20.0"/>
    <col customWidth="1" min="11" max="11" width="10.71"/>
    <col customWidth="1" min="12" max="12" width="5.43"/>
  </cols>
  <sheetData>
    <row r="1">
      <c r="A1" s="381" t="s">
        <v>164</v>
      </c>
      <c r="B1" s="16"/>
      <c r="C1" s="16"/>
      <c r="D1" s="16"/>
      <c r="E1" s="16"/>
      <c r="F1" s="16"/>
      <c r="G1" s="16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9.25" customHeight="1">
      <c r="A3" s="382" t="s">
        <v>165</v>
      </c>
      <c r="B3" s="29"/>
      <c r="C3" s="383"/>
      <c r="D3" s="384"/>
      <c r="E3" s="382" t="s">
        <v>166</v>
      </c>
      <c r="F3" s="29"/>
      <c r="G3" s="383"/>
      <c r="H3" s="384"/>
      <c r="I3" s="382" t="s">
        <v>167</v>
      </c>
      <c r="J3" s="29"/>
      <c r="K3" s="383"/>
      <c r="L3" s="384"/>
      <c r="M3" s="2"/>
      <c r="N3" s="2"/>
      <c r="O3" s="2"/>
    </row>
    <row r="4">
      <c r="A4" s="385" t="s">
        <v>49</v>
      </c>
      <c r="B4" s="386" t="s">
        <v>52</v>
      </c>
      <c r="C4" s="387" t="s">
        <v>53</v>
      </c>
      <c r="D4" s="384"/>
      <c r="E4" s="388" t="s">
        <v>49</v>
      </c>
      <c r="F4" s="389" t="s">
        <v>52</v>
      </c>
      <c r="G4" s="390" t="s">
        <v>53</v>
      </c>
      <c r="H4" s="384"/>
      <c r="I4" s="388" t="s">
        <v>49</v>
      </c>
      <c r="J4" s="389" t="s">
        <v>52</v>
      </c>
      <c r="K4" s="390" t="s">
        <v>53</v>
      </c>
      <c r="L4" s="384"/>
      <c r="M4" s="2"/>
      <c r="N4" s="2"/>
      <c r="O4" s="2"/>
    </row>
    <row r="5">
      <c r="A5" s="133" t="s">
        <v>54</v>
      </c>
      <c r="B5" s="391">
        <v>805417.17</v>
      </c>
      <c r="C5" s="392">
        <f>B5/B21</f>
        <v>0.2687356712</v>
      </c>
      <c r="D5" s="393"/>
      <c r="E5" s="133" t="s">
        <v>54</v>
      </c>
      <c r="F5" s="394">
        <f>B5+B10+9400</f>
        <v>834817.17</v>
      </c>
      <c r="G5" s="392">
        <f>F5/F21</f>
        <v>0.2785452817</v>
      </c>
      <c r="H5" s="384"/>
      <c r="I5" s="133" t="s">
        <v>54</v>
      </c>
      <c r="J5" s="395">
        <v>835137.1</v>
      </c>
      <c r="K5" s="392">
        <f>J5/J21</f>
        <v>0.2786520297</v>
      </c>
      <c r="L5" s="384"/>
      <c r="M5" s="2"/>
      <c r="N5" s="2"/>
      <c r="O5" s="2"/>
    </row>
    <row r="6">
      <c r="A6" s="133" t="s">
        <v>168</v>
      </c>
      <c r="B6" s="391">
        <v>148000.0</v>
      </c>
      <c r="C6" s="392">
        <f>B6/B21</f>
        <v>0.04938171276</v>
      </c>
      <c r="D6" s="393"/>
      <c r="E6" s="133" t="s">
        <v>58</v>
      </c>
      <c r="F6" s="391">
        <v>148000.0</v>
      </c>
      <c r="G6" s="392">
        <f>F6/F21</f>
        <v>0.04938171276</v>
      </c>
      <c r="H6" s="384"/>
      <c r="I6" s="133" t="s">
        <v>58</v>
      </c>
      <c r="J6" s="395">
        <v>148000.0</v>
      </c>
      <c r="K6" s="392">
        <f>J6/J21</f>
        <v>0.04938171276</v>
      </c>
      <c r="L6" s="384"/>
      <c r="M6" s="2"/>
      <c r="N6" s="2"/>
      <c r="O6" s="2"/>
    </row>
    <row r="7">
      <c r="A7" s="133" t="s">
        <v>59</v>
      </c>
      <c r="B7" s="391">
        <v>1229600.0</v>
      </c>
      <c r="C7" s="392">
        <f>B7/B21</f>
        <v>0.4102686082</v>
      </c>
      <c r="D7" s="393"/>
      <c r="E7" s="133" t="s">
        <v>169</v>
      </c>
      <c r="F7" s="391">
        <v>1229600.0</v>
      </c>
      <c r="G7" s="392">
        <f>F7/F21</f>
        <v>0.4102686082</v>
      </c>
      <c r="H7" s="384"/>
      <c r="I7" s="133" t="s">
        <v>169</v>
      </c>
      <c r="J7" s="396">
        <v>1227850.0</v>
      </c>
      <c r="K7" s="392">
        <f>J7/J21</f>
        <v>0.4096847028</v>
      </c>
      <c r="L7" s="384"/>
      <c r="M7" s="2"/>
      <c r="N7" s="2"/>
      <c r="O7" s="2"/>
    </row>
    <row r="8">
      <c r="A8" s="133" t="s">
        <v>170</v>
      </c>
      <c r="B8" s="391">
        <v>132000.0</v>
      </c>
      <c r="C8" s="392">
        <f>B8/B21</f>
        <v>0.04404314922</v>
      </c>
      <c r="D8" s="393"/>
      <c r="E8" s="133" t="s">
        <v>171</v>
      </c>
      <c r="F8" s="391">
        <v>132000.0</v>
      </c>
      <c r="G8" s="392">
        <f>F8/F21</f>
        <v>0.04404314922</v>
      </c>
      <c r="H8" s="384"/>
      <c r="I8" s="133" t="s">
        <v>171</v>
      </c>
      <c r="J8" s="395">
        <v>132000.0</v>
      </c>
      <c r="K8" s="392">
        <f>J8/J21</f>
        <v>0.04404314922</v>
      </c>
      <c r="L8" s="384"/>
      <c r="M8" s="2"/>
      <c r="N8" s="2"/>
      <c r="O8" s="2"/>
    </row>
    <row r="9">
      <c r="A9" s="397" t="s">
        <v>172</v>
      </c>
      <c r="B9" s="398">
        <v>0.0</v>
      </c>
      <c r="C9" s="399">
        <f>B9/B21</f>
        <v>0</v>
      </c>
      <c r="D9" s="400"/>
      <c r="E9" s="397" t="s">
        <v>172</v>
      </c>
      <c r="F9" s="394">
        <v>17035.26</v>
      </c>
      <c r="G9" s="399">
        <f>F9/F21</f>
        <v>0.005683988623</v>
      </c>
      <c r="H9" s="401"/>
      <c r="I9" s="397" t="s">
        <v>172</v>
      </c>
      <c r="J9" s="395">
        <v>17035.26</v>
      </c>
      <c r="K9" s="399">
        <f>J9/J21</f>
        <v>0.005683988623</v>
      </c>
      <c r="L9" s="402"/>
      <c r="M9" s="403"/>
      <c r="N9" s="403"/>
      <c r="O9" s="403"/>
    </row>
    <row r="10">
      <c r="A10" s="133" t="s">
        <v>173</v>
      </c>
      <c r="B10" s="391">
        <v>20000.0</v>
      </c>
      <c r="C10" s="392">
        <f>B10/B21</f>
        <v>0.006673204427</v>
      </c>
      <c r="D10" s="393"/>
      <c r="E10" s="133" t="s">
        <v>174</v>
      </c>
      <c r="F10" s="394">
        <v>0.0</v>
      </c>
      <c r="G10" s="392">
        <f>F10/F21</f>
        <v>0</v>
      </c>
      <c r="H10" s="384"/>
      <c r="I10" s="133" t="s">
        <v>174</v>
      </c>
      <c r="J10" s="396">
        <v>1750.0</v>
      </c>
      <c r="K10" s="392">
        <f>J10/J21</f>
        <v>0.0005839053874</v>
      </c>
      <c r="L10" s="384"/>
      <c r="M10" s="2"/>
      <c r="N10" s="2"/>
      <c r="O10" s="2"/>
    </row>
    <row r="11">
      <c r="A11" s="404" t="s">
        <v>175</v>
      </c>
      <c r="B11" s="405">
        <f>SUM(B5:B10)</f>
        <v>2335017.17</v>
      </c>
      <c r="C11" s="406">
        <f>B11/B21</f>
        <v>0.7791023458</v>
      </c>
      <c r="D11" s="407"/>
      <c r="E11" s="404" t="s">
        <v>175</v>
      </c>
      <c r="F11" s="405">
        <f>SUM(F5:F10)</f>
        <v>2361452.43</v>
      </c>
      <c r="G11" s="406">
        <f>F11/F21</f>
        <v>0.7879227405</v>
      </c>
      <c r="H11" s="384"/>
      <c r="I11" s="404" t="s">
        <v>175</v>
      </c>
      <c r="J11" s="408">
        <f>SUM(J5:J10)</f>
        <v>2361772.36</v>
      </c>
      <c r="K11" s="406">
        <f>J11/J21</f>
        <v>0.7880294884</v>
      </c>
      <c r="L11" s="384"/>
      <c r="M11" s="2"/>
      <c r="N11" s="2"/>
      <c r="O11" s="2"/>
    </row>
    <row r="12">
      <c r="A12" s="409" t="s">
        <v>176</v>
      </c>
      <c r="B12" s="391">
        <f>SUM(B13:B15)</f>
        <v>58954.69</v>
      </c>
      <c r="C12" s="392">
        <f>B12/B21</f>
        <v>0.01967083492</v>
      </c>
      <c r="D12" s="393"/>
      <c r="E12" s="409" t="s">
        <v>176</v>
      </c>
      <c r="F12" s="391">
        <f>SUM(F13:F15)</f>
        <v>32519.43</v>
      </c>
      <c r="G12" s="392">
        <f>F12/F21</f>
        <v>0.01085044021</v>
      </c>
      <c r="H12" s="384"/>
      <c r="I12" s="409" t="s">
        <v>176</v>
      </c>
      <c r="J12" s="391">
        <f>SUM(J13:J15)</f>
        <v>32199.5</v>
      </c>
      <c r="K12" s="392">
        <f>J12/J21</f>
        <v>0.0107436923</v>
      </c>
      <c r="L12" s="384"/>
      <c r="M12" s="2"/>
      <c r="N12" s="2"/>
      <c r="O12" s="2"/>
    </row>
    <row r="13">
      <c r="A13" s="409" t="s">
        <v>123</v>
      </c>
      <c r="B13" s="391">
        <v>0.0</v>
      </c>
      <c r="C13" s="410">
        <f>B13/B21</f>
        <v>0</v>
      </c>
      <c r="D13" s="393"/>
      <c r="E13" s="409" t="s">
        <v>123</v>
      </c>
      <c r="F13" s="391">
        <v>0.0</v>
      </c>
      <c r="G13" s="410">
        <f>F13/F21</f>
        <v>0</v>
      </c>
      <c r="H13" s="384"/>
      <c r="I13" s="409" t="s">
        <v>123</v>
      </c>
      <c r="J13" s="391">
        <v>0.0</v>
      </c>
      <c r="K13" s="410">
        <f>J13/J21</f>
        <v>0</v>
      </c>
      <c r="L13" s="384"/>
      <c r="M13" s="2"/>
      <c r="N13" s="2"/>
      <c r="O13" s="2"/>
    </row>
    <row r="14">
      <c r="A14" s="409" t="s">
        <v>124</v>
      </c>
      <c r="B14" s="391">
        <v>0.0</v>
      </c>
      <c r="C14" s="410">
        <f>B14/B21</f>
        <v>0</v>
      </c>
      <c r="D14" s="393"/>
      <c r="E14" s="409" t="s">
        <v>124</v>
      </c>
      <c r="F14" s="391">
        <v>0.0</v>
      </c>
      <c r="G14" s="410">
        <f>F14/F21</f>
        <v>0</v>
      </c>
      <c r="H14" s="384"/>
      <c r="I14" s="409" t="s">
        <v>124</v>
      </c>
      <c r="J14" s="391">
        <v>0.0</v>
      </c>
      <c r="K14" s="410">
        <f>J14/J21</f>
        <v>0</v>
      </c>
      <c r="L14" s="384"/>
      <c r="M14" s="2"/>
      <c r="N14" s="2"/>
      <c r="O14" s="2"/>
    </row>
    <row r="15">
      <c r="A15" s="409" t="s">
        <v>125</v>
      </c>
      <c r="B15" s="391">
        <v>58954.69</v>
      </c>
      <c r="C15" s="392">
        <f>B15/B21</f>
        <v>0.01967083492</v>
      </c>
      <c r="D15" s="393"/>
      <c r="E15" s="409" t="s">
        <v>125</v>
      </c>
      <c r="F15" s="394">
        <v>32519.43</v>
      </c>
      <c r="G15" s="392">
        <f>F15/F21</f>
        <v>0.01085044021</v>
      </c>
      <c r="H15" s="384"/>
      <c r="I15" s="409" t="s">
        <v>125</v>
      </c>
      <c r="J15" s="391">
        <v>32199.5</v>
      </c>
      <c r="K15" s="392">
        <f>J15/J21</f>
        <v>0.0107436923</v>
      </c>
      <c r="L15" s="384"/>
      <c r="M15" s="2"/>
      <c r="N15" s="2"/>
      <c r="O15" s="2"/>
    </row>
    <row r="16">
      <c r="A16" s="411" t="s">
        <v>177</v>
      </c>
      <c r="B16" s="412">
        <f>SUM(B11:B12)</f>
        <v>2393971.86</v>
      </c>
      <c r="C16" s="413">
        <f>B16/B21</f>
        <v>0.7987731807</v>
      </c>
      <c r="D16" s="407"/>
      <c r="E16" s="411" t="s">
        <v>178</v>
      </c>
      <c r="F16" s="412">
        <f>SUM(F11:F12)</f>
        <v>2393971.86</v>
      </c>
      <c r="G16" s="413">
        <f>F16/F21</f>
        <v>0.7987731807</v>
      </c>
      <c r="H16" s="384"/>
      <c r="I16" s="411" t="s">
        <v>179</v>
      </c>
      <c r="J16" s="412">
        <f>SUM(J11:J12)</f>
        <v>2393971.86</v>
      </c>
      <c r="K16" s="413">
        <f>J16/J21</f>
        <v>0.7987731807</v>
      </c>
      <c r="L16" s="384"/>
      <c r="M16" s="2"/>
      <c r="N16" s="2"/>
      <c r="O16" s="2"/>
    </row>
    <row r="17" ht="21.75" customHeight="1">
      <c r="A17" s="133" t="s">
        <v>126</v>
      </c>
      <c r="B17" s="391">
        <v>377878.77</v>
      </c>
      <c r="C17" s="414">
        <f>B17/B21</f>
        <v>0.126083114</v>
      </c>
      <c r="D17" s="393"/>
      <c r="E17" s="133" t="s">
        <v>126</v>
      </c>
      <c r="F17" s="391">
        <v>377878.77</v>
      </c>
      <c r="G17" s="414">
        <f>F17/F21</f>
        <v>0.126083114</v>
      </c>
      <c r="H17" s="384"/>
      <c r="I17" s="133" t="s">
        <v>126</v>
      </c>
      <c r="J17" s="391">
        <v>377878.77</v>
      </c>
      <c r="K17" s="414">
        <f>J17/J21</f>
        <v>0.126083114</v>
      </c>
      <c r="L17" s="384"/>
      <c r="M17" s="2"/>
      <c r="N17" s="2"/>
      <c r="O17" s="2"/>
    </row>
    <row r="18">
      <c r="A18" s="133" t="s">
        <v>129</v>
      </c>
      <c r="B18" s="391">
        <v>75357.22</v>
      </c>
      <c r="C18" s="414">
        <f>B18/B21</f>
        <v>0.02514370671</v>
      </c>
      <c r="D18" s="407"/>
      <c r="E18" s="133" t="s">
        <v>129</v>
      </c>
      <c r="F18" s="391">
        <v>75357.22</v>
      </c>
      <c r="G18" s="414">
        <f>F18/F21</f>
        <v>0.02514370671</v>
      </c>
      <c r="H18" s="384"/>
      <c r="I18" s="133" t="s">
        <v>129</v>
      </c>
      <c r="J18" s="391">
        <v>75357.22</v>
      </c>
      <c r="K18" s="414">
        <f>J18/J21</f>
        <v>0.02514370671</v>
      </c>
      <c r="L18" s="384"/>
      <c r="M18" s="2"/>
      <c r="N18" s="2"/>
      <c r="O18" s="2"/>
    </row>
    <row r="19">
      <c r="A19" s="415" t="s">
        <v>180</v>
      </c>
      <c r="B19" s="416">
        <f t="shared" ref="B19:C19" si="1">SUM(B16:B18)</f>
        <v>2847207.85</v>
      </c>
      <c r="C19" s="417">
        <f t="shared" si="1"/>
        <v>0.9500000015</v>
      </c>
      <c r="D19" s="384"/>
      <c r="E19" s="415" t="s">
        <v>180</v>
      </c>
      <c r="F19" s="416">
        <f t="shared" ref="F19:G19" si="2">SUM(F16:F18)</f>
        <v>2847207.85</v>
      </c>
      <c r="G19" s="418">
        <f t="shared" si="2"/>
        <v>0.9500000015</v>
      </c>
      <c r="H19" s="384"/>
      <c r="I19" s="415" t="s">
        <v>180</v>
      </c>
      <c r="J19" s="416">
        <f t="shared" ref="J19:K19" si="3">SUM(J16:J18)</f>
        <v>2847207.85</v>
      </c>
      <c r="K19" s="418">
        <f t="shared" si="3"/>
        <v>0.9500000015</v>
      </c>
      <c r="L19" s="384"/>
      <c r="M19" s="2"/>
      <c r="N19" s="2"/>
      <c r="O19" s="2"/>
    </row>
    <row r="20" ht="39.0" customHeight="1">
      <c r="A20" s="133" t="s">
        <v>181</v>
      </c>
      <c r="B20" s="391">
        <v>149853.04</v>
      </c>
      <c r="C20" s="419">
        <v>0.05</v>
      </c>
      <c r="D20" s="384"/>
      <c r="E20" s="133" t="s">
        <v>182</v>
      </c>
      <c r="F20" s="391">
        <v>149853.04</v>
      </c>
      <c r="G20" s="420">
        <f>F20/F21</f>
        <v>0.0499999985</v>
      </c>
      <c r="H20" s="384"/>
      <c r="I20" s="133" t="s">
        <v>183</v>
      </c>
      <c r="J20" s="391">
        <v>149853.04</v>
      </c>
      <c r="K20" s="420">
        <f>J20/J21</f>
        <v>0.0499999985</v>
      </c>
      <c r="L20" s="384"/>
      <c r="M20" s="2"/>
      <c r="N20" s="2"/>
      <c r="O20" s="2"/>
    </row>
    <row r="21" ht="15.75" customHeight="1">
      <c r="A21" s="421" t="s">
        <v>184</v>
      </c>
      <c r="B21" s="422">
        <f t="shared" ref="B21:C21" si="4">B19+B20</f>
        <v>2997060.89</v>
      </c>
      <c r="C21" s="423">
        <f t="shared" si="4"/>
        <v>1.000000002</v>
      </c>
      <c r="D21" s="384"/>
      <c r="E21" s="421" t="s">
        <v>184</v>
      </c>
      <c r="F21" s="424">
        <f t="shared" ref="F21:G21" si="5">F19+F20</f>
        <v>2997060.89</v>
      </c>
      <c r="G21" s="425">
        <f t="shared" si="5"/>
        <v>1</v>
      </c>
      <c r="H21" s="384"/>
      <c r="I21" s="421" t="s">
        <v>184</v>
      </c>
      <c r="J21" s="424">
        <f t="shared" ref="J21:K21" si="6">J19+J20</f>
        <v>2997060.89</v>
      </c>
      <c r="K21" s="425">
        <f t="shared" si="6"/>
        <v>1</v>
      </c>
      <c r="L21" s="384"/>
      <c r="M21" s="2"/>
      <c r="N21" s="2"/>
      <c r="O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382" t="s">
        <v>185</v>
      </c>
      <c r="B25" s="29"/>
      <c r="C25" s="38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385" t="s">
        <v>49</v>
      </c>
      <c r="B26" s="386" t="s">
        <v>52</v>
      </c>
      <c r="C26" s="387" t="s">
        <v>53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133" t="s">
        <v>54</v>
      </c>
      <c r="B27" s="391"/>
      <c r="C27" s="392">
        <f>B27/B42</f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133" t="s">
        <v>58</v>
      </c>
      <c r="B28" s="391"/>
      <c r="C28" s="392">
        <f>B28/B42</f>
        <v>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133" t="s">
        <v>59</v>
      </c>
      <c r="B29" s="391">
        <v>770800.0</v>
      </c>
      <c r="C29" s="392">
        <f>B29/B42</f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133" t="s">
        <v>170</v>
      </c>
      <c r="B30" s="391"/>
      <c r="C30" s="392">
        <f>B30/B42</f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397" t="s">
        <v>172</v>
      </c>
      <c r="B31" s="426"/>
      <c r="C31" s="399">
        <f>B31/B42</f>
        <v>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133" t="s">
        <v>174</v>
      </c>
      <c r="B32" s="391"/>
      <c r="C32" s="392">
        <f>B32/B42</f>
        <v>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404" t="s">
        <v>175</v>
      </c>
      <c r="B33" s="405">
        <f>SUM(B27:B32)</f>
        <v>770800</v>
      </c>
      <c r="C33" s="406">
        <f>B33/B42</f>
        <v>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409" t="s">
        <v>176</v>
      </c>
      <c r="B34" s="391"/>
      <c r="C34" s="392">
        <f>B34/B42</f>
        <v>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409" t="s">
        <v>123</v>
      </c>
      <c r="B35" s="391"/>
      <c r="C35" s="410">
        <f>B35/B42</f>
        <v>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409" t="s">
        <v>124</v>
      </c>
      <c r="B36" s="391"/>
      <c r="C36" s="410">
        <f>B36/B42</f>
        <v>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409" t="s">
        <v>186</v>
      </c>
      <c r="B37" s="391"/>
      <c r="C37" s="392">
        <f>B37/B42</f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409" t="s">
        <v>125</v>
      </c>
      <c r="B38" s="391"/>
      <c r="C38" s="392">
        <f>B38/B42</f>
        <v>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411" t="s">
        <v>187</v>
      </c>
      <c r="B39" s="412"/>
      <c r="C39" s="413">
        <f>B39/B42</f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133" t="s">
        <v>126</v>
      </c>
      <c r="B40" s="391"/>
      <c r="C40" s="414">
        <f>B40/B42</f>
        <v>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133" t="s">
        <v>129</v>
      </c>
      <c r="B41" s="391"/>
      <c r="C41" s="414">
        <f>B41/B42</f>
        <v>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421" t="s">
        <v>184</v>
      </c>
      <c r="B42" s="422">
        <f t="shared" ref="B42:C42" si="7">B33</f>
        <v>770800</v>
      </c>
      <c r="C42" s="423">
        <f t="shared" si="7"/>
        <v>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3:C3"/>
    <mergeCell ref="E3:G3"/>
    <mergeCell ref="I3:K3"/>
    <mergeCell ref="A25:C25"/>
  </mergeCells>
  <printOptions/>
  <pageMargins bottom="0.787401575" footer="0.0" header="0.0" left="0.511811024" right="0.511811024" top="0.787401575"/>
  <pageSetup orientation="landscape"/>
  <drawing r:id="rId2"/>
  <legacyDrawing r:id="rId3"/>
</worksheet>
</file>