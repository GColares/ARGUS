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lsas_Geral" sheetId="1" r:id="rId5"/>
    <sheet state="visible" name="Bolsas_Empresa_cc15334.6" sheetId="2" r:id="rId6"/>
    <sheet state="visible" name="Bolsas_Sebrae_cc15335.4" sheetId="3" r:id="rId7"/>
    <sheet state="visible" name="Bolsas_Embrapii_cc15338.9" sheetId="4" r:id="rId8"/>
    <sheet state="visible" name="PT_Retificado2_15.2" sheetId="5" r:id="rId9"/>
  </sheets>
  <definedNames>
    <definedName hidden="1" localSheetId="0" name="_xlnm._FilterDatabase">Bolsas_Geral!$A$1:$U$15</definedName>
  </definedNames>
  <calcPr/>
</workbook>
</file>

<file path=xl/sharedStrings.xml><?xml version="1.0" encoding="utf-8"?>
<sst xmlns="http://schemas.openxmlformats.org/spreadsheetml/2006/main" count="473" uniqueCount="140">
  <si>
    <t>#</t>
  </si>
  <si>
    <t>Termo de Bolsa</t>
  </si>
  <si>
    <t>Processo</t>
  </si>
  <si>
    <t>Bolsista</t>
  </si>
  <si>
    <t>Função</t>
  </si>
  <si>
    <t>RH</t>
  </si>
  <si>
    <t>Início</t>
  </si>
  <si>
    <t>Encerramento</t>
  </si>
  <si>
    <t>Carga Horária</t>
  </si>
  <si>
    <t>Parcelas</t>
  </si>
  <si>
    <t>Parcela</t>
  </si>
  <si>
    <t>Total</t>
  </si>
  <si>
    <t>Intertício R01</t>
  </si>
  <si>
    <t>Intertício R02</t>
  </si>
  <si>
    <t>Intertício R03</t>
  </si>
  <si>
    <t>Intertício R04</t>
  </si>
  <si>
    <t>Intertício R05</t>
  </si>
  <si>
    <t>Intertício R06</t>
  </si>
  <si>
    <t>Intertício R07</t>
  </si>
  <si>
    <t>Intertício R08</t>
  </si>
  <si>
    <t>Intertício R09</t>
  </si>
  <si>
    <t>1446/2026</t>
  </si>
  <si>
    <t>0298/2026</t>
  </si>
  <si>
    <t>Wenndisson da Silva Souza</t>
  </si>
  <si>
    <t>Coordenador</t>
  </si>
  <si>
    <t>Direto</t>
  </si>
  <si>
    <t>01/06/26 a 31/06/26</t>
  </si>
  <si>
    <t>01/07/26 a 31/07/26</t>
  </si>
  <si>
    <t>03/08/26 a 31/08/26</t>
  </si>
  <si>
    <t>01/09/26 a 30/09/26</t>
  </si>
  <si>
    <t>01/10/26 a 30/10/26</t>
  </si>
  <si>
    <t>02/11/26 a 30/11/26</t>
  </si>
  <si>
    <t>01/12/26 a 31/12/26</t>
  </si>
  <si>
    <t>04/01/27 a 29/01/27</t>
  </si>
  <si>
    <t>01/02/27 a 26/02/27</t>
  </si>
  <si>
    <t>1459/2026</t>
  </si>
  <si>
    <t>0306/2026</t>
  </si>
  <si>
    <t>Geziel Sena Colares</t>
  </si>
  <si>
    <t>Aux-Adm</t>
  </si>
  <si>
    <t>Indireto</t>
  </si>
  <si>
    <t>25/06/26 a 14/07/26</t>
  </si>
  <si>
    <t>15/07/26 a 31/07/26</t>
  </si>
  <si>
    <t>N/A</t>
  </si>
  <si>
    <t>1471/2026</t>
  </si>
  <si>
    <t>0314/2026</t>
  </si>
  <si>
    <t>Gabriel Silveira Alencar</t>
  </si>
  <si>
    <t>Analista de Teste</t>
  </si>
  <si>
    <t>1472/2026</t>
  </si>
  <si>
    <t>Nobuyuki Andrade Ashibe</t>
  </si>
  <si>
    <t>Aluno Graduação - (AI)</t>
  </si>
  <si>
    <t>1473/2026</t>
  </si>
  <si>
    <t>Jose Mario Castro de Amaral</t>
  </si>
  <si>
    <t>Aluno Graduação - (Frontend)</t>
  </si>
  <si>
    <t>1474/2026</t>
  </si>
  <si>
    <t>Bruno Cesar de Souza Falcao</t>
  </si>
  <si>
    <t>Aluno Graduação - (Backend)</t>
  </si>
  <si>
    <t>1475/2026</t>
  </si>
  <si>
    <t>Gabriel Nogueira de Lima</t>
  </si>
  <si>
    <t>Aluno Graduação - (QA)</t>
  </si>
  <si>
    <t>1529/2026</t>
  </si>
  <si>
    <t>0341/2026</t>
  </si>
  <si>
    <t>Eduardo Palhares Júnior</t>
  </si>
  <si>
    <t>Cientista de Dados</t>
  </si>
  <si>
    <t>13/07/26 a 31/07/26</t>
  </si>
  <si>
    <t>01/08/26 a 15/08/26</t>
  </si>
  <si>
    <t>16/08/26 a 31/08/26</t>
  </si>
  <si>
    <t>1545/2026</t>
  </si>
  <si>
    <t>0356/2026</t>
  </si>
  <si>
    <t>Liane de Oliveira Calais Sobreira</t>
  </si>
  <si>
    <t>Analista Integrador</t>
  </si>
  <si>
    <t>20/07/26 a 05/08/26</t>
  </si>
  <si>
    <t>06/08/26 a 31/08/26</t>
  </si>
  <si>
    <t>01/09/26 a 15/09/26</t>
  </si>
  <si>
    <t>16/09/26 a 30/09/26</t>
  </si>
  <si>
    <t>1554/2026</t>
  </si>
  <si>
    <t>0361/2026</t>
  </si>
  <si>
    <t>Cairo José Nascimento Carneiro</t>
  </si>
  <si>
    <t>Aluno Graduação (Frontend)</t>
  </si>
  <si>
    <t>1555/2026</t>
  </si>
  <si>
    <t>Rafael Freire Couto da Silva</t>
  </si>
  <si>
    <t>Aluno Graduação (Backend)</t>
  </si>
  <si>
    <t>1569/2026</t>
  </si>
  <si>
    <t>0371/2026</t>
  </si>
  <si>
    <t>Gabriel Clavila Soares</t>
  </si>
  <si>
    <t>Engenheiro de Software</t>
  </si>
  <si>
    <t>27/07/26 a 12/08/26</t>
  </si>
  <si>
    <t>13/08/26 a 31/08/26</t>
  </si>
  <si>
    <t>1570/2026</t>
  </si>
  <si>
    <t>Sandro Haiden Teixeira</t>
  </si>
  <si>
    <t>Desenvolvedor Full Stack</t>
  </si>
  <si>
    <t>Total_Geral</t>
  </si>
  <si>
    <t>Sub-Total</t>
  </si>
  <si>
    <t>Execucao_Financeira_Geziel_Sena_Colares</t>
  </si>
  <si>
    <t>ra_dt_inicio</t>
  </si>
  <si>
    <t>ra_dt_fim</t>
  </si>
  <si>
    <t>dias</t>
  </si>
  <si>
    <t>ch</t>
  </si>
  <si>
    <t>valor</t>
  </si>
  <si>
    <t>dt_pagamento</t>
  </si>
  <si>
    <t>Saldo</t>
  </si>
  <si>
    <t>Planejamento_Financeiro_Geziel_Sena_Colares</t>
  </si>
  <si>
    <t>Perfil Profissional</t>
  </si>
  <si>
    <t>Nome</t>
  </si>
  <si>
    <t>Custo Mensal (R$)</t>
  </si>
  <si>
    <t>Disponib. Horas/mês</t>
  </si>
  <si>
    <t>Valor Hora</t>
  </si>
  <si>
    <t>Meses Totais</t>
  </si>
  <si>
    <t>Meses SEBRAE</t>
  </si>
  <si>
    <t>Meses EMBRAPII</t>
  </si>
  <si>
    <t>Total SEBRAE</t>
  </si>
  <si>
    <t>Total EMBRAPII</t>
  </si>
  <si>
    <t>R$ 12.000,00</t>
  </si>
  <si>
    <t>R$ 300,00</t>
  </si>
  <si>
    <t>R$ 36.000,00</t>
  </si>
  <si>
    <t>R$ 72.000,00</t>
  </si>
  <si>
    <t>R$ 7.000,00</t>
  </si>
  <si>
    <t>R$ 175,00</t>
  </si>
  <si>
    <t>R$ 21.000,00</t>
  </si>
  <si>
    <t>R$ 42.000,00</t>
  </si>
  <si>
    <t>R$ 5.000,00</t>
  </si>
  <si>
    <t>R$ 125,00</t>
  </si>
  <si>
    <t>R$ 15.000,00</t>
  </si>
  <si>
    <t>R$ 30.000,00</t>
  </si>
  <si>
    <t>Desenvolvedor Fullstack</t>
  </si>
  <si>
    <t>R$ 2.000,00</t>
  </si>
  <si>
    <t>R$ 50,00</t>
  </si>
  <si>
    <t>R$ 6.000,00</t>
  </si>
  <si>
    <t>R$ 2.125,00</t>
  </si>
  <si>
    <t>R$ 53,13</t>
  </si>
  <si>
    <t>-</t>
  </si>
  <si>
    <t>R$ 17.000,00</t>
  </si>
  <si>
    <t>R$ 4.000,00</t>
  </si>
  <si>
    <t>R$ 14.000,00</t>
  </si>
  <si>
    <t>R$ 10.000,00</t>
  </si>
  <si>
    <t>R$ 8.000,00</t>
  </si>
  <si>
    <t>R$ 16.000,00</t>
  </si>
  <si>
    <t>TOTAL</t>
  </si>
  <si>
    <t>R$ 51.125,00</t>
  </si>
  <si>
    <t>R$ 149.000,00</t>
  </si>
  <si>
    <t>R$ 309.000,00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</si>
</sst>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[$R$ -416]#,##0.0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color theme="4"/>
      <name val="Arial"/>
    </font>
    <font>
      <color rgb="FF4285F4"/>
      <name val="Arial"/>
    </font>
    <font>
      <b/>
      <color theme="4"/>
      <name val="Arial"/>
    </font>
    <font>
      <b/>
      <color theme="1"/>
      <name val="Arial"/>
      <scheme val="minor"/>
    </font>
    <font>
      <b/>
      <color theme="0"/>
      <name val="Arial"/>
      <scheme val="minor"/>
    </font>
    <font>
      <b/>
      <color rgb="FFFFFFFF"/>
      <name val="Arial"/>
      <scheme val="minor"/>
    </font>
    <font>
      <b/>
      <color rgb="FF000000"/>
      <name val="Arial"/>
      <scheme val="minor"/>
    </font>
    <font>
      <b/>
      <sz val="8.0"/>
      <color rgb="FF000000"/>
      <name val="&quot;Calibri&quot;"/>
    </font>
    <font>
      <sz val="8.0"/>
      <color rgb="FF000000"/>
      <name val="&quot;Calibri&quot;"/>
    </font>
    <font>
      <sz val="8.0"/>
      <color theme="1"/>
      <name val="&quot;Calibri&quot;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0000FF"/>
        <bgColor rgb="FF0000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E7E6E6"/>
        <bgColor rgb="FFE7E6E6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2" fontId="2" numFmtId="0" xfId="0" applyAlignment="1" applyFill="1" applyFont="1">
      <alignment readingOrder="0" shrinkToFit="0" vertical="bottom" wrapText="0"/>
    </xf>
    <xf borderId="0" fillId="3" fontId="2" numFmtId="0" xfId="0" applyAlignment="1" applyFill="1" applyFont="1">
      <alignment readingOrder="0" shrinkToFit="0" vertical="bottom" wrapText="0"/>
    </xf>
    <xf borderId="0" fillId="4" fontId="3" numFmtId="0" xfId="0" applyAlignment="1" applyFill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2" fontId="3" numFmtId="0" xfId="0" applyAlignment="1" applyFill="1" applyFont="1">
      <alignment readingOrder="0" shrinkToFit="0" vertical="bottom" wrapText="0"/>
    </xf>
    <xf borderId="0" fillId="4" fontId="2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5" fontId="5" numFmtId="0" xfId="0" applyAlignment="1" applyFill="1" applyFont="1">
      <alignment readingOrder="0"/>
    </xf>
    <xf borderId="0" fillId="6" fontId="6" numFmtId="0" xfId="0" applyAlignment="1" applyFill="1" applyFont="1">
      <alignment horizontal="center" readingOrder="0"/>
    </xf>
    <xf borderId="0" fillId="6" fontId="7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5" xfId="0" applyAlignment="1" applyFont="1" applyNumberFormat="1">
      <alignment horizontal="center"/>
    </xf>
    <xf borderId="1" fillId="0" fontId="1" numFmtId="0" xfId="0" applyAlignment="1" applyBorder="1" applyFont="1">
      <alignment horizontal="center" readingOrder="0"/>
    </xf>
    <xf borderId="1" fillId="0" fontId="1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5" xfId="0" applyAlignment="1" applyBorder="1" applyFont="1" applyNumberFormat="1">
      <alignment horizontal="center"/>
    </xf>
    <xf borderId="0" fillId="5" fontId="1" numFmtId="165" xfId="0" applyFill="1" applyFont="1" applyNumberFormat="1"/>
    <xf borderId="0" fillId="7" fontId="5" numFmtId="0" xfId="0" applyAlignment="1" applyFill="1" applyFont="1">
      <alignment readingOrder="0"/>
    </xf>
    <xf borderId="0" fillId="8" fontId="8" numFmtId="0" xfId="0" applyAlignment="1" applyFill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9" fontId="5" numFmtId="0" xfId="0" applyAlignment="1" applyFill="1" applyFont="1">
      <alignment readingOrder="0"/>
    </xf>
    <xf borderId="1" fillId="0" fontId="1" numFmtId="164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center" readingOrder="0"/>
    </xf>
    <xf borderId="0" fillId="9" fontId="1" numFmtId="165" xfId="0" applyFill="1" applyFont="1" applyNumberFormat="1"/>
    <xf borderId="0" fillId="0" fontId="1" numFmtId="0" xfId="0" applyFont="1"/>
    <xf borderId="0" fillId="10" fontId="9" numFmtId="0" xfId="0" applyAlignment="1" applyFill="1" applyFont="1">
      <alignment horizontal="center" readingOrder="0"/>
    </xf>
    <xf borderId="0" fillId="11" fontId="10" numFmtId="0" xfId="0" applyAlignment="1" applyFill="1" applyFont="1">
      <alignment readingOrder="0"/>
    </xf>
    <xf borderId="0" fillId="9" fontId="10" numFmtId="0" xfId="0" applyAlignment="1" applyFill="1" applyFont="1">
      <alignment readingOrder="0"/>
    </xf>
    <xf borderId="0" fillId="0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12" fontId="9" numFmtId="0" xfId="0" applyAlignment="1" applyFill="1" applyFont="1">
      <alignment horizontal="center" readingOrder="0" vertical="top"/>
    </xf>
    <xf borderId="0" fillId="12" fontId="1" numFmtId="0" xfId="0" applyAlignment="1" applyFill="1" applyFont="1">
      <alignment vertical="top"/>
    </xf>
    <xf borderId="0" fillId="12" fontId="9" numFmtId="0" xfId="0" applyAlignment="1" applyFill="1" applyFont="1">
      <alignment horizontal="center"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5" pivot="0" name="Bolsas_Geral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Bolsas_Empresa_cc15334.6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Bolsas_Sebrae_cc15335.4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Bolsas_Embrapii_cc15338.9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U15" displayName="Bolsas_Geral" name="Bolsas_Geral" id="1">
  <autoFilter ref="$A$1:$U$15"/>
  <tableColumns count="21">
    <tableColumn name="#" id="1"/>
    <tableColumn name="Termo de Bolsa" id="2"/>
    <tableColumn name="Processo" id="3"/>
    <tableColumn name="Bolsista" id="4"/>
    <tableColumn name="Função" id="5"/>
    <tableColumn name="RH" id="6"/>
    <tableColumn name="Início" id="7"/>
    <tableColumn name="Encerramento" id="8"/>
    <tableColumn name="Carga Horária" id="9"/>
    <tableColumn totalsRowLabel="Total_Geral" name="Parcelas" id="10"/>
    <tableColumn totalsRowFunction="custom" name="Parcela" id="11"/>
    <tableColumn totalsRowFunction="custom" name="Total" id="12"/>
    <tableColumn name="Intertício R01" id="13"/>
    <tableColumn name="Intertício R02" id="14"/>
    <tableColumn name="Intertício R03" id="15"/>
    <tableColumn name="Intertício R04" id="16"/>
    <tableColumn name="Intertício R05" id="17"/>
    <tableColumn name="Intertício R06" id="18"/>
    <tableColumn name="Intertício R07" id="19"/>
    <tableColumn name="Intertício R08" id="20"/>
    <tableColumn name="Intertício R09" id="21"/>
  </tableColumns>
  <tableStyleInfo name="Bolsas_Geral-style" showColumnStripes="0" showFirstColumn="1" showLastColumn="1" showRowStripes="1"/>
</table>
</file>

<file path=xl/tables/table2.xml><?xml version="1.0" encoding="utf-8"?>
<table xmlns="http://schemas.openxmlformats.org/spreadsheetml/2006/main" totalsRowCount="1" ref="A1:L3" displayName="Bolsas_Empresa_cc15334.6" name="Bolsas_Empresa_cc15334.6" id="2">
  <tableColumns count="12">
    <tableColumn name="#" id="1"/>
    <tableColumn name="Termo de Bolsa" id="2"/>
    <tableColumn name="Processo" id="3"/>
    <tableColumn name="Bolsista" id="4"/>
    <tableColumn name="Função" id="5"/>
    <tableColumn name="RH" id="6"/>
    <tableColumn name="Início" id="7"/>
    <tableColumn name="Encerramento" id="8"/>
    <tableColumn name="Carga Horária" id="9"/>
    <tableColumn totalsRowLabel="Sub-Total" name="Parcelas" id="10"/>
    <tableColumn totalsRowFunction="custom" name="Parcela" id="11"/>
    <tableColumn totalsRowFunction="custom" name="Total" id="12"/>
  </tableColumns>
  <tableStyleInfo name="Bolsas_Empresa_cc15334.6-style" showColumnStripes="0" showFirstColumn="1" showLastColumn="1" showRowStripes="1"/>
</table>
</file>

<file path=xl/tables/table3.xml><?xml version="1.0" encoding="utf-8"?>
<table xmlns="http://schemas.openxmlformats.org/spreadsheetml/2006/main" totalsRowCount="1" ref="A1:L14" displayName="Bolsas_Sebrae_cc15335.4" name="Bolsas_Sebrae_cc15335.4" id="3">
  <tableColumns count="12">
    <tableColumn name="#" id="1"/>
    <tableColumn name="Termo de Bolsa" id="2"/>
    <tableColumn name="Processo" id="3"/>
    <tableColumn name="Bolsista" id="4"/>
    <tableColumn name="Função" id="5"/>
    <tableColumn name="RH" id="6"/>
    <tableColumn name="Início" id="7"/>
    <tableColumn name="Encerramento" id="8"/>
    <tableColumn name="Carga Horária" id="9"/>
    <tableColumn totalsRowLabel="Sub-Total" name="Parcelas" id="10"/>
    <tableColumn totalsRowFunction="custom" name="Parcela" id="11"/>
    <tableColumn totalsRowFunction="custom" name="Total" id="12"/>
  </tableColumns>
  <tableStyleInfo name="Bolsas_Sebrae_cc15335.4-style" showColumnStripes="0" showFirstColumn="1" showLastColumn="1" showRowStripes="1"/>
</table>
</file>

<file path=xl/tables/table4.xml><?xml version="1.0" encoding="utf-8"?>
<table xmlns="http://schemas.openxmlformats.org/spreadsheetml/2006/main" totalsRowCount="1" ref="A1:L14" displayName="Bolsas_Embrapii_cc15338.9" name="Bolsas_Embrapii_cc15338.9" id="4">
  <tableColumns count="12">
    <tableColumn name="#" id="1"/>
    <tableColumn name="Termo de Bolsa" id="2"/>
    <tableColumn name="Processo" id="3"/>
    <tableColumn name="Bolsista" id="4"/>
    <tableColumn name="Função" id="5"/>
    <tableColumn name="RH" id="6"/>
    <tableColumn name="Início" id="7"/>
    <tableColumn name="Encerramento" id="8"/>
    <tableColumn name="Carga Horária" id="9"/>
    <tableColumn totalsRowLabel="Sub-Total" name="Parcelas" id="10"/>
    <tableColumn totalsRowFunction="custom" name="Parcela" id="11"/>
    <tableColumn totalsRowFunction="custom" name="Total" id="12"/>
  </tableColumns>
  <tableStyleInfo name="Bolsas_Embrapii_cc15338.9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5"/>
    <col customWidth="1" min="2" max="2" width="17.25"/>
    <col customWidth="1" min="3" max="3" width="12.5"/>
    <col customWidth="1" min="4" max="4" width="26.38"/>
    <col customWidth="1" min="5" max="5" width="24.13"/>
    <col customWidth="1" hidden="1" min="6" max="6" width="7.88"/>
    <col customWidth="1" hidden="1" min="7" max="7" width="11.13"/>
    <col customWidth="1" hidden="1" min="8" max="8" width="16.0"/>
    <col customWidth="1" hidden="1" min="9" max="9" width="15.88"/>
    <col customWidth="1" min="10" max="10" width="12.0"/>
    <col customWidth="1" hidden="1" min="11" max="11" width="14.38"/>
    <col customWidth="1" hidden="1" min="12" max="12" width="12.88"/>
    <col customWidth="1" min="13" max="17" width="17.13"/>
    <col customWidth="1" min="18" max="18" width="16.88"/>
    <col customWidth="1" min="19" max="21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ht="22.5" customHeight="1">
      <c r="A2" s="1">
        <v>1.0</v>
      </c>
      <c r="B2" s="1" t="s">
        <v>21</v>
      </c>
      <c r="C2" s="1" t="s">
        <v>22</v>
      </c>
      <c r="D2" s="5" t="s">
        <v>23</v>
      </c>
      <c r="E2" s="5" t="s">
        <v>24</v>
      </c>
      <c r="F2" s="1" t="s">
        <v>25</v>
      </c>
      <c r="G2" s="6">
        <v>46174.0</v>
      </c>
      <c r="H2" s="6">
        <v>46446.0</v>
      </c>
      <c r="I2" s="1">
        <v>360.0</v>
      </c>
      <c r="J2" s="1">
        <v>9.0</v>
      </c>
      <c r="K2" s="7">
        <v>12000.0</v>
      </c>
      <c r="L2" s="8">
        <f t="shared" ref="L2:L14" si="1">J2*K2</f>
        <v>108000</v>
      </c>
      <c r="M2" s="9" t="s">
        <v>26</v>
      </c>
      <c r="N2" s="9" t="s">
        <v>27</v>
      </c>
      <c r="O2" s="10" t="s">
        <v>28</v>
      </c>
      <c r="P2" s="11" t="s">
        <v>29</v>
      </c>
      <c r="Q2" s="12" t="s">
        <v>30</v>
      </c>
      <c r="R2" s="13" t="s">
        <v>31</v>
      </c>
      <c r="S2" s="13" t="s">
        <v>32</v>
      </c>
      <c r="T2" s="13" t="s">
        <v>33</v>
      </c>
      <c r="U2" s="13" t="s">
        <v>34</v>
      </c>
    </row>
    <row r="3" ht="22.5" customHeight="1">
      <c r="A3" s="1">
        <v>2.0</v>
      </c>
      <c r="B3" s="1" t="s">
        <v>35</v>
      </c>
      <c r="C3" s="1" t="s">
        <v>36</v>
      </c>
      <c r="D3" s="5" t="s">
        <v>37</v>
      </c>
      <c r="E3" s="5" t="s">
        <v>38</v>
      </c>
      <c r="F3" s="1" t="s">
        <v>39</v>
      </c>
      <c r="G3" s="6">
        <v>46198.0</v>
      </c>
      <c r="H3" s="6">
        <v>46446.0</v>
      </c>
      <c r="I3" s="1">
        <v>160.0</v>
      </c>
      <c r="J3" s="1">
        <v>8.0</v>
      </c>
      <c r="K3" s="7">
        <v>2800.0</v>
      </c>
      <c r="L3" s="8">
        <f t="shared" si="1"/>
        <v>22400</v>
      </c>
      <c r="M3" s="9" t="s">
        <v>40</v>
      </c>
      <c r="N3" s="14" t="s">
        <v>41</v>
      </c>
      <c r="O3" s="10" t="s">
        <v>28</v>
      </c>
      <c r="P3" s="15" t="s">
        <v>29</v>
      </c>
      <c r="Q3" s="13" t="s">
        <v>30</v>
      </c>
      <c r="R3" s="13" t="s">
        <v>31</v>
      </c>
      <c r="S3" s="13" t="s">
        <v>32</v>
      </c>
      <c r="T3" s="13" t="s">
        <v>33</v>
      </c>
      <c r="U3" s="16" t="s">
        <v>42</v>
      </c>
    </row>
    <row r="4" ht="22.5" customHeight="1">
      <c r="A4" s="1">
        <v>3.0</v>
      </c>
      <c r="B4" s="1" t="s">
        <v>43</v>
      </c>
      <c r="C4" s="1" t="s">
        <v>44</v>
      </c>
      <c r="D4" s="17" t="s">
        <v>45</v>
      </c>
      <c r="E4" s="5" t="s">
        <v>46</v>
      </c>
      <c r="F4" s="1" t="s">
        <v>25</v>
      </c>
      <c r="G4" s="6">
        <v>46198.0</v>
      </c>
      <c r="H4" s="6">
        <v>46446.0</v>
      </c>
      <c r="I4" s="1">
        <v>360.0</v>
      </c>
      <c r="J4" s="1">
        <v>9.0</v>
      </c>
      <c r="K4" s="7">
        <v>5000.0</v>
      </c>
      <c r="L4" s="8">
        <f t="shared" si="1"/>
        <v>45000</v>
      </c>
      <c r="M4" s="9" t="s">
        <v>40</v>
      </c>
      <c r="N4" s="9" t="s">
        <v>41</v>
      </c>
      <c r="O4" s="10" t="s">
        <v>28</v>
      </c>
      <c r="P4" s="15" t="s">
        <v>29</v>
      </c>
      <c r="Q4" s="13" t="s">
        <v>30</v>
      </c>
      <c r="R4" s="13" t="s">
        <v>31</v>
      </c>
      <c r="S4" s="13" t="s">
        <v>32</v>
      </c>
      <c r="T4" s="13" t="s">
        <v>33</v>
      </c>
      <c r="U4" s="13" t="s">
        <v>34</v>
      </c>
    </row>
    <row r="5" ht="22.5" customHeight="1">
      <c r="A5" s="1">
        <v>4.0</v>
      </c>
      <c r="B5" s="1" t="s">
        <v>47</v>
      </c>
      <c r="C5" s="1" t="s">
        <v>44</v>
      </c>
      <c r="D5" s="17" t="s">
        <v>48</v>
      </c>
      <c r="E5" s="5" t="s">
        <v>49</v>
      </c>
      <c r="F5" s="1" t="s">
        <v>25</v>
      </c>
      <c r="G5" s="6">
        <v>46198.0</v>
      </c>
      <c r="H5" s="6">
        <v>46446.0</v>
      </c>
      <c r="I5" s="1">
        <v>360.0</v>
      </c>
      <c r="J5" s="1">
        <v>9.0</v>
      </c>
      <c r="K5" s="7">
        <v>2000.0</v>
      </c>
      <c r="L5" s="8">
        <f t="shared" si="1"/>
        <v>18000</v>
      </c>
      <c r="M5" s="9" t="s">
        <v>40</v>
      </c>
      <c r="N5" s="9" t="s">
        <v>41</v>
      </c>
      <c r="O5" s="10" t="s">
        <v>28</v>
      </c>
      <c r="P5" s="15" t="s">
        <v>29</v>
      </c>
      <c r="Q5" s="13" t="s">
        <v>30</v>
      </c>
      <c r="R5" s="13" t="s">
        <v>31</v>
      </c>
      <c r="S5" s="13" t="s">
        <v>32</v>
      </c>
      <c r="T5" s="13" t="s">
        <v>33</v>
      </c>
      <c r="U5" s="13" t="s">
        <v>34</v>
      </c>
    </row>
    <row r="6" ht="22.5" customHeight="1">
      <c r="A6" s="1">
        <v>5.0</v>
      </c>
      <c r="B6" s="1" t="s">
        <v>50</v>
      </c>
      <c r="C6" s="1" t="s">
        <v>44</v>
      </c>
      <c r="D6" s="17" t="s">
        <v>51</v>
      </c>
      <c r="E6" s="5" t="s">
        <v>52</v>
      </c>
      <c r="F6" s="1" t="s">
        <v>25</v>
      </c>
      <c r="G6" s="6">
        <v>46198.0</v>
      </c>
      <c r="H6" s="6">
        <v>46446.0</v>
      </c>
      <c r="I6" s="1">
        <v>360.0</v>
      </c>
      <c r="J6" s="1">
        <v>9.0</v>
      </c>
      <c r="K6" s="7">
        <v>2000.0</v>
      </c>
      <c r="L6" s="8">
        <f t="shared" si="1"/>
        <v>18000</v>
      </c>
      <c r="M6" s="9" t="s">
        <v>40</v>
      </c>
      <c r="N6" s="9" t="s">
        <v>41</v>
      </c>
      <c r="O6" s="10" t="s">
        <v>28</v>
      </c>
      <c r="P6" s="15" t="s">
        <v>29</v>
      </c>
      <c r="Q6" s="13" t="s">
        <v>30</v>
      </c>
      <c r="R6" s="13" t="s">
        <v>31</v>
      </c>
      <c r="S6" s="13" t="s">
        <v>32</v>
      </c>
      <c r="T6" s="13" t="s">
        <v>33</v>
      </c>
      <c r="U6" s="13" t="s">
        <v>34</v>
      </c>
    </row>
    <row r="7" ht="22.5" customHeight="1">
      <c r="A7" s="1">
        <v>6.0</v>
      </c>
      <c r="B7" s="1" t="s">
        <v>53</v>
      </c>
      <c r="C7" s="1" t="s">
        <v>44</v>
      </c>
      <c r="D7" s="17" t="s">
        <v>54</v>
      </c>
      <c r="E7" s="5" t="s">
        <v>55</v>
      </c>
      <c r="F7" s="1" t="s">
        <v>25</v>
      </c>
      <c r="G7" s="6">
        <v>46198.0</v>
      </c>
      <c r="H7" s="6">
        <v>46446.0</v>
      </c>
      <c r="I7" s="1">
        <v>360.0</v>
      </c>
      <c r="J7" s="1">
        <v>9.0</v>
      </c>
      <c r="K7" s="7">
        <v>2000.0</v>
      </c>
      <c r="L7" s="8">
        <f t="shared" si="1"/>
        <v>18000</v>
      </c>
      <c r="M7" s="9" t="s">
        <v>40</v>
      </c>
      <c r="N7" s="9" t="s">
        <v>41</v>
      </c>
      <c r="O7" s="10" t="s">
        <v>28</v>
      </c>
      <c r="P7" s="15" t="s">
        <v>29</v>
      </c>
      <c r="Q7" s="13" t="s">
        <v>30</v>
      </c>
      <c r="R7" s="13" t="s">
        <v>31</v>
      </c>
      <c r="S7" s="13" t="s">
        <v>32</v>
      </c>
      <c r="T7" s="13" t="s">
        <v>33</v>
      </c>
      <c r="U7" s="13" t="s">
        <v>34</v>
      </c>
    </row>
    <row r="8" ht="22.5" customHeight="1">
      <c r="A8" s="1">
        <v>7.0</v>
      </c>
      <c r="B8" s="1" t="s">
        <v>56</v>
      </c>
      <c r="C8" s="1" t="s">
        <v>44</v>
      </c>
      <c r="D8" s="17" t="s">
        <v>57</v>
      </c>
      <c r="E8" s="5" t="s">
        <v>58</v>
      </c>
      <c r="F8" s="1" t="s">
        <v>25</v>
      </c>
      <c r="G8" s="6">
        <v>46198.0</v>
      </c>
      <c r="H8" s="6">
        <v>46446.0</v>
      </c>
      <c r="I8" s="1">
        <v>360.0</v>
      </c>
      <c r="J8" s="1">
        <v>9.0</v>
      </c>
      <c r="K8" s="7">
        <v>2000.0</v>
      </c>
      <c r="L8" s="8">
        <f t="shared" si="1"/>
        <v>18000</v>
      </c>
      <c r="M8" s="14" t="s">
        <v>40</v>
      </c>
      <c r="N8" s="9" t="s">
        <v>41</v>
      </c>
      <c r="O8" s="10" t="s">
        <v>28</v>
      </c>
      <c r="P8" s="15" t="s">
        <v>29</v>
      </c>
      <c r="Q8" s="13" t="s">
        <v>30</v>
      </c>
      <c r="R8" s="13" t="s">
        <v>31</v>
      </c>
      <c r="S8" s="13" t="s">
        <v>32</v>
      </c>
      <c r="T8" s="13" t="s">
        <v>33</v>
      </c>
      <c r="U8" s="13" t="s">
        <v>34</v>
      </c>
    </row>
    <row r="9" ht="22.5" customHeight="1">
      <c r="A9" s="1">
        <v>8.0</v>
      </c>
      <c r="B9" s="1" t="s">
        <v>59</v>
      </c>
      <c r="C9" s="1" t="s">
        <v>60</v>
      </c>
      <c r="D9" s="17" t="s">
        <v>61</v>
      </c>
      <c r="E9" s="5" t="s">
        <v>62</v>
      </c>
      <c r="F9" s="1" t="s">
        <v>25</v>
      </c>
      <c r="G9" s="6">
        <v>46216.0</v>
      </c>
      <c r="H9" s="6">
        <v>46446.0</v>
      </c>
      <c r="I9" s="1">
        <v>360.0</v>
      </c>
      <c r="J9" s="1">
        <v>9.0</v>
      </c>
      <c r="K9" s="7">
        <v>7000.0</v>
      </c>
      <c r="L9" s="8">
        <f t="shared" si="1"/>
        <v>63000</v>
      </c>
      <c r="M9" s="9" t="s">
        <v>63</v>
      </c>
      <c r="N9" s="10" t="s">
        <v>64</v>
      </c>
      <c r="O9" s="10" t="s">
        <v>65</v>
      </c>
      <c r="P9" s="15" t="s">
        <v>29</v>
      </c>
      <c r="Q9" s="13" t="s">
        <v>30</v>
      </c>
      <c r="R9" s="13" t="s">
        <v>31</v>
      </c>
      <c r="S9" s="13" t="s">
        <v>32</v>
      </c>
      <c r="T9" s="13" t="s">
        <v>33</v>
      </c>
      <c r="U9" s="13" t="s">
        <v>34</v>
      </c>
    </row>
    <row r="10" ht="22.5" customHeight="1">
      <c r="A10" s="1">
        <v>9.0</v>
      </c>
      <c r="B10" s="1" t="s">
        <v>66</v>
      </c>
      <c r="C10" s="1" t="s">
        <v>67</v>
      </c>
      <c r="D10" s="17" t="s">
        <v>68</v>
      </c>
      <c r="E10" s="5" t="s">
        <v>69</v>
      </c>
      <c r="F10" s="1" t="s">
        <v>25</v>
      </c>
      <c r="G10" s="6">
        <v>46223.0</v>
      </c>
      <c r="H10" s="6">
        <v>46446.0</v>
      </c>
      <c r="I10" s="1">
        <v>360.0</v>
      </c>
      <c r="J10" s="1">
        <v>9.0</v>
      </c>
      <c r="K10" s="7">
        <v>5000.0</v>
      </c>
      <c r="L10" s="8">
        <f t="shared" si="1"/>
        <v>45000</v>
      </c>
      <c r="M10" s="14" t="s">
        <v>70</v>
      </c>
      <c r="N10" s="10" t="s">
        <v>71</v>
      </c>
      <c r="O10" s="15" t="s">
        <v>72</v>
      </c>
      <c r="P10" s="15" t="s">
        <v>73</v>
      </c>
      <c r="Q10" s="13" t="s">
        <v>30</v>
      </c>
      <c r="R10" s="13" t="s">
        <v>31</v>
      </c>
      <c r="S10" s="13" t="s">
        <v>32</v>
      </c>
      <c r="T10" s="13" t="s">
        <v>33</v>
      </c>
      <c r="U10" s="13" t="s">
        <v>34</v>
      </c>
    </row>
    <row r="11" ht="22.5" customHeight="1">
      <c r="A11" s="1">
        <v>10.0</v>
      </c>
      <c r="B11" s="1" t="s">
        <v>74</v>
      </c>
      <c r="C11" s="1" t="s">
        <v>75</v>
      </c>
      <c r="D11" s="17" t="s">
        <v>76</v>
      </c>
      <c r="E11" s="5" t="s">
        <v>77</v>
      </c>
      <c r="F11" s="1" t="s">
        <v>25</v>
      </c>
      <c r="G11" s="6">
        <v>46223.0</v>
      </c>
      <c r="H11" s="6">
        <v>46446.0</v>
      </c>
      <c r="I11" s="1">
        <v>320.0</v>
      </c>
      <c r="J11" s="1">
        <v>8.0</v>
      </c>
      <c r="K11" s="7">
        <v>2125.0</v>
      </c>
      <c r="L11" s="8">
        <f t="shared" si="1"/>
        <v>17000</v>
      </c>
      <c r="M11" s="9" t="s">
        <v>70</v>
      </c>
      <c r="N11" s="10" t="s">
        <v>71</v>
      </c>
      <c r="O11" s="15" t="s">
        <v>29</v>
      </c>
      <c r="P11" s="13" t="s">
        <v>30</v>
      </c>
      <c r="Q11" s="13" t="s">
        <v>31</v>
      </c>
      <c r="R11" s="13" t="s">
        <v>32</v>
      </c>
      <c r="S11" s="13" t="s">
        <v>33</v>
      </c>
      <c r="T11" s="13" t="s">
        <v>34</v>
      </c>
      <c r="U11" s="16" t="s">
        <v>42</v>
      </c>
    </row>
    <row r="12" ht="22.5" customHeight="1">
      <c r="A12" s="1">
        <v>11.0</v>
      </c>
      <c r="B12" s="1" t="s">
        <v>78</v>
      </c>
      <c r="C12" s="1" t="s">
        <v>75</v>
      </c>
      <c r="D12" s="17" t="s">
        <v>79</v>
      </c>
      <c r="E12" s="5" t="s">
        <v>80</v>
      </c>
      <c r="F12" s="1" t="s">
        <v>25</v>
      </c>
      <c r="G12" s="6">
        <v>46223.0</v>
      </c>
      <c r="H12" s="6">
        <v>46446.0</v>
      </c>
      <c r="I12" s="1">
        <v>360.0</v>
      </c>
      <c r="J12" s="1">
        <v>9.0</v>
      </c>
      <c r="K12" s="7">
        <v>2000.0</v>
      </c>
      <c r="L12" s="8">
        <f t="shared" si="1"/>
        <v>18000</v>
      </c>
      <c r="M12" s="9" t="s">
        <v>70</v>
      </c>
      <c r="N12" s="10" t="s">
        <v>71</v>
      </c>
      <c r="O12" s="15" t="s">
        <v>72</v>
      </c>
      <c r="P12" s="15" t="s">
        <v>73</v>
      </c>
      <c r="Q12" s="13" t="s">
        <v>30</v>
      </c>
      <c r="R12" s="13" t="s">
        <v>31</v>
      </c>
      <c r="S12" s="13" t="s">
        <v>32</v>
      </c>
      <c r="T12" s="13" t="s">
        <v>33</v>
      </c>
      <c r="U12" s="13" t="s">
        <v>34</v>
      </c>
    </row>
    <row r="13" ht="22.5" customHeight="1">
      <c r="A13" s="1">
        <v>12.0</v>
      </c>
      <c r="B13" s="1" t="s">
        <v>81</v>
      </c>
      <c r="C13" s="1" t="s">
        <v>82</v>
      </c>
      <c r="D13" s="17" t="s">
        <v>83</v>
      </c>
      <c r="E13" s="5" t="s">
        <v>84</v>
      </c>
      <c r="F13" s="1" t="s">
        <v>25</v>
      </c>
      <c r="G13" s="6">
        <v>46230.0</v>
      </c>
      <c r="H13" s="6">
        <v>46446.0</v>
      </c>
      <c r="I13" s="1">
        <v>360.0</v>
      </c>
      <c r="J13" s="1">
        <v>9.0</v>
      </c>
      <c r="K13" s="7">
        <v>5000.0</v>
      </c>
      <c r="L13" s="8">
        <f t="shared" si="1"/>
        <v>45000</v>
      </c>
      <c r="M13" s="9" t="s">
        <v>85</v>
      </c>
      <c r="N13" s="10" t="s">
        <v>86</v>
      </c>
      <c r="O13" s="15" t="s">
        <v>72</v>
      </c>
      <c r="P13" s="15" t="s">
        <v>73</v>
      </c>
      <c r="Q13" s="13" t="s">
        <v>30</v>
      </c>
      <c r="R13" s="13" t="s">
        <v>31</v>
      </c>
      <c r="S13" s="13" t="s">
        <v>32</v>
      </c>
      <c r="T13" s="13" t="s">
        <v>33</v>
      </c>
      <c r="U13" s="13" t="s">
        <v>34</v>
      </c>
    </row>
    <row r="14" ht="22.5" customHeight="1">
      <c r="A14" s="1">
        <v>13.0</v>
      </c>
      <c r="B14" s="1" t="s">
        <v>87</v>
      </c>
      <c r="C14" s="1" t="s">
        <v>82</v>
      </c>
      <c r="D14" s="17" t="s">
        <v>88</v>
      </c>
      <c r="E14" s="17" t="s">
        <v>89</v>
      </c>
      <c r="F14" s="1" t="s">
        <v>25</v>
      </c>
      <c r="G14" s="6">
        <v>46230.0</v>
      </c>
      <c r="H14" s="6">
        <v>46446.0</v>
      </c>
      <c r="I14" s="1">
        <v>360.0</v>
      </c>
      <c r="J14" s="1">
        <v>9.0</v>
      </c>
      <c r="K14" s="7">
        <v>5000.0</v>
      </c>
      <c r="L14" s="8">
        <f t="shared" si="1"/>
        <v>45000</v>
      </c>
      <c r="M14" s="9" t="s">
        <v>85</v>
      </c>
      <c r="N14" s="10" t="s">
        <v>86</v>
      </c>
      <c r="O14" s="15" t="s">
        <v>72</v>
      </c>
      <c r="P14" s="15" t="s">
        <v>73</v>
      </c>
      <c r="Q14" s="13" t="s">
        <v>30</v>
      </c>
      <c r="R14" s="13" t="s">
        <v>31</v>
      </c>
      <c r="S14" s="13" t="s">
        <v>32</v>
      </c>
      <c r="T14" s="13" t="s">
        <v>33</v>
      </c>
      <c r="U14" s="13" t="s">
        <v>34</v>
      </c>
    </row>
    <row r="15" ht="22.5" customHeight="1">
      <c r="A15" s="1"/>
      <c r="B15" s="18"/>
      <c r="C15" s="18"/>
      <c r="D15" s="19"/>
      <c r="E15" s="20"/>
      <c r="F15" s="18"/>
      <c r="G15" s="18"/>
      <c r="H15" s="18"/>
      <c r="I15" s="18"/>
      <c r="J15" s="21" t="s">
        <v>90</v>
      </c>
      <c r="K15" s="22">
        <f>SUM(Bolsas_Geral[Parcela])</f>
        <v>53925</v>
      </c>
      <c r="L15" s="22">
        <f>SUM(Bolsas_Geral[Total])</f>
        <v>480400</v>
      </c>
      <c r="M15" s="23"/>
      <c r="N15" s="23"/>
      <c r="O15" s="23"/>
      <c r="P15" s="23"/>
      <c r="Q15" s="23"/>
      <c r="R15" s="23"/>
      <c r="S15" s="23"/>
      <c r="T15" s="23"/>
      <c r="U15" s="23"/>
    </row>
  </sheetData>
  <dataValidations>
    <dataValidation type="custom" allowBlank="1" showDropDown="1" sqref="K2:K14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7.63"/>
    <col customWidth="1" min="3" max="3" width="16.63"/>
    <col customWidth="1" min="4" max="4" width="17.0"/>
    <col customWidth="1" min="5" max="5" width="11.0"/>
    <col customWidth="1" min="6" max="6" width="10.13"/>
    <col customWidth="1" min="7" max="7" width="16.38"/>
    <col customWidth="1" min="8" max="8" width="15.88"/>
    <col customWidth="1" min="9" max="9" width="15.75"/>
    <col customWidth="1" min="10" max="10" width="12.0"/>
    <col customWidth="1" min="11" max="11" width="14.38"/>
    <col customWidth="1" min="12" max="12" width="12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22.5" customHeight="1">
      <c r="A2" s="1">
        <v>1.0</v>
      </c>
      <c r="B2" s="1" t="s">
        <v>35</v>
      </c>
      <c r="C2" s="1" t="s">
        <v>36</v>
      </c>
      <c r="D2" s="5" t="s">
        <v>37</v>
      </c>
      <c r="E2" s="5" t="s">
        <v>38</v>
      </c>
      <c r="F2" s="1" t="s">
        <v>39</v>
      </c>
      <c r="G2" s="6">
        <v>46198.0</v>
      </c>
      <c r="H2" s="6">
        <v>46446.0</v>
      </c>
      <c r="I2" s="1">
        <v>160.0</v>
      </c>
      <c r="J2" s="1">
        <v>8.0</v>
      </c>
      <c r="K2" s="7">
        <v>2800.0</v>
      </c>
      <c r="L2" s="8">
        <f>J2*K2</f>
        <v>22400</v>
      </c>
    </row>
    <row r="3" ht="22.5" customHeight="1">
      <c r="A3" s="19"/>
      <c r="B3" s="19"/>
      <c r="C3" s="19"/>
      <c r="D3" s="19"/>
      <c r="E3" s="19"/>
      <c r="F3" s="19"/>
      <c r="G3" s="19"/>
      <c r="H3" s="19"/>
      <c r="I3" s="19"/>
      <c r="J3" s="24" t="s">
        <v>91</v>
      </c>
      <c r="K3" s="22">
        <f>SUM(Bolsas_Empresa_cc15334.6[Parcela])</f>
        <v>2800</v>
      </c>
      <c r="L3" s="22">
        <f>SUM(Bolsas_Empresa_cc15334.6[Total])</f>
        <v>22400</v>
      </c>
    </row>
    <row r="6">
      <c r="A6" s="25" t="s">
        <v>92</v>
      </c>
    </row>
    <row r="7">
      <c r="A7" s="26" t="s">
        <v>10</v>
      </c>
      <c r="B7" s="27" t="s">
        <v>93</v>
      </c>
      <c r="C7" s="27" t="s">
        <v>94</v>
      </c>
      <c r="D7" s="26" t="s">
        <v>95</v>
      </c>
      <c r="E7" s="26" t="s">
        <v>96</v>
      </c>
      <c r="F7" s="26" t="s">
        <v>97</v>
      </c>
      <c r="G7" s="26" t="s">
        <v>98</v>
      </c>
    </row>
    <row r="8">
      <c r="A8" s="28">
        <v>1.0</v>
      </c>
      <c r="B8" s="29">
        <v>46198.0</v>
      </c>
      <c r="C8" s="29">
        <v>46217.0</v>
      </c>
      <c r="D8" s="28">
        <f t="shared" ref="D8:D15" si="1">C8-B8+1</f>
        <v>20</v>
      </c>
      <c r="E8" s="28">
        <v>20.0</v>
      </c>
      <c r="F8" s="30">
        <v>2800.0</v>
      </c>
      <c r="G8" s="29">
        <v>46220.0</v>
      </c>
    </row>
    <row r="9">
      <c r="A9" s="28">
        <v>2.0</v>
      </c>
      <c r="B9" s="29">
        <v>46218.0</v>
      </c>
      <c r="C9" s="29">
        <v>46234.0</v>
      </c>
      <c r="D9" s="28">
        <f t="shared" si="1"/>
        <v>17</v>
      </c>
      <c r="E9" s="28">
        <v>20.0</v>
      </c>
      <c r="F9" s="30">
        <v>2800.0</v>
      </c>
      <c r="G9" s="29">
        <v>46240.0</v>
      </c>
    </row>
    <row r="10">
      <c r="A10" s="28">
        <v>3.0</v>
      </c>
      <c r="B10" s="29">
        <v>46237.0</v>
      </c>
      <c r="C10" s="29">
        <v>46265.0</v>
      </c>
      <c r="D10" s="28">
        <f t="shared" si="1"/>
        <v>29</v>
      </c>
      <c r="E10" s="28">
        <v>20.0</v>
      </c>
      <c r="F10" s="30">
        <v>2800.0</v>
      </c>
      <c r="G10" s="31"/>
    </row>
    <row r="11">
      <c r="A11" s="28">
        <v>4.0</v>
      </c>
      <c r="B11" s="29">
        <v>46266.0</v>
      </c>
      <c r="C11" s="29">
        <v>46295.0</v>
      </c>
      <c r="D11" s="28">
        <f t="shared" si="1"/>
        <v>30</v>
      </c>
      <c r="E11" s="28">
        <v>20.0</v>
      </c>
      <c r="F11" s="32"/>
      <c r="G11" s="31"/>
    </row>
    <row r="12">
      <c r="A12" s="28">
        <v>5.0</v>
      </c>
      <c r="B12" s="29">
        <v>46296.0</v>
      </c>
      <c r="C12" s="29">
        <v>46325.0</v>
      </c>
      <c r="D12" s="28">
        <f t="shared" si="1"/>
        <v>30</v>
      </c>
      <c r="E12" s="28">
        <v>20.0</v>
      </c>
      <c r="F12" s="32"/>
      <c r="G12" s="31"/>
    </row>
    <row r="13">
      <c r="A13" s="28">
        <v>6.0</v>
      </c>
      <c r="B13" s="29">
        <v>46328.0</v>
      </c>
      <c r="C13" s="29">
        <v>46356.0</v>
      </c>
      <c r="D13" s="28">
        <f t="shared" si="1"/>
        <v>29</v>
      </c>
      <c r="E13" s="28">
        <v>20.0</v>
      </c>
      <c r="F13" s="32"/>
      <c r="G13" s="31"/>
    </row>
    <row r="14">
      <c r="A14" s="28">
        <v>7.0</v>
      </c>
      <c r="B14" s="29">
        <v>46357.0</v>
      </c>
      <c r="C14" s="29">
        <v>46387.0</v>
      </c>
      <c r="D14" s="28">
        <f t="shared" si="1"/>
        <v>31</v>
      </c>
      <c r="E14" s="28">
        <v>20.0</v>
      </c>
      <c r="F14" s="32"/>
      <c r="G14" s="31"/>
      <c r="H14" s="25" t="s">
        <v>99</v>
      </c>
    </row>
    <row r="15">
      <c r="A15" s="33">
        <v>8.0</v>
      </c>
      <c r="B15" s="34">
        <v>46391.0</v>
      </c>
      <c r="C15" s="34">
        <v>46416.0</v>
      </c>
      <c r="D15" s="35">
        <f t="shared" si="1"/>
        <v>26</v>
      </c>
      <c r="E15" s="33">
        <v>20.0</v>
      </c>
      <c r="F15" s="36"/>
      <c r="G15" s="36"/>
      <c r="H15" s="37">
        <f>Bolsas_Empresa_cc15334.6[[#TOTALS],[Total]]-F16</f>
        <v>14000</v>
      </c>
    </row>
    <row r="16">
      <c r="A16" s="28" t="s">
        <v>11</v>
      </c>
      <c r="D16" s="31"/>
      <c r="E16" s="31">
        <f t="shared" ref="E16:F16" si="2">SUM(E8:E15)</f>
        <v>160</v>
      </c>
      <c r="F16" s="32">
        <f t="shared" si="2"/>
        <v>8400</v>
      </c>
    </row>
    <row r="19">
      <c r="A19" s="38" t="s">
        <v>100</v>
      </c>
    </row>
    <row r="20">
      <c r="A20" s="39" t="s">
        <v>10</v>
      </c>
      <c r="B20" s="39" t="s">
        <v>93</v>
      </c>
      <c r="C20" s="39" t="s">
        <v>94</v>
      </c>
      <c r="D20" s="39" t="s">
        <v>95</v>
      </c>
      <c r="E20" s="39" t="s">
        <v>96</v>
      </c>
      <c r="F20" s="39" t="s">
        <v>97</v>
      </c>
      <c r="G20" s="28"/>
    </row>
    <row r="21">
      <c r="A21" s="28">
        <v>1.0</v>
      </c>
      <c r="B21" s="29">
        <v>46198.0</v>
      </c>
      <c r="C21" s="29">
        <v>46217.0</v>
      </c>
      <c r="D21" s="28">
        <f>C21-B21+1</f>
        <v>20</v>
      </c>
      <c r="E21" s="28">
        <v>20.0</v>
      </c>
      <c r="F21" s="30">
        <v>2800.0</v>
      </c>
      <c r="G21" s="31"/>
    </row>
    <row r="22">
      <c r="A22" s="28">
        <v>2.0</v>
      </c>
      <c r="B22" s="29">
        <v>46218.0</v>
      </c>
      <c r="C22" s="29">
        <f t="shared" ref="C22:C28" si="3">B22+D22</f>
        <v>46238</v>
      </c>
      <c r="D22" s="28">
        <v>20.0</v>
      </c>
      <c r="E22" s="28">
        <v>20.0</v>
      </c>
      <c r="F22" s="30">
        <v>2800.0</v>
      </c>
      <c r="G22" s="31"/>
    </row>
    <row r="23">
      <c r="A23" s="28">
        <v>3.0</v>
      </c>
      <c r="B23" s="40">
        <f t="shared" ref="B23:B28" si="4">C22+1</f>
        <v>46239</v>
      </c>
      <c r="C23" s="29">
        <f t="shared" si="3"/>
        <v>46269</v>
      </c>
      <c r="D23" s="28">
        <v>30.0</v>
      </c>
      <c r="E23" s="28">
        <v>20.0</v>
      </c>
      <c r="F23" s="30">
        <v>2800.0</v>
      </c>
      <c r="G23" s="31"/>
    </row>
    <row r="24">
      <c r="A24" s="28">
        <v>4.0</v>
      </c>
      <c r="B24" s="40">
        <f t="shared" si="4"/>
        <v>46270</v>
      </c>
      <c r="C24" s="29">
        <f t="shared" si="3"/>
        <v>46300</v>
      </c>
      <c r="D24" s="28">
        <v>30.0</v>
      </c>
      <c r="E24" s="28">
        <v>20.0</v>
      </c>
      <c r="F24" s="30">
        <v>2800.0</v>
      </c>
      <c r="G24" s="31"/>
    </row>
    <row r="25">
      <c r="A25" s="28">
        <v>5.0</v>
      </c>
      <c r="B25" s="40">
        <f t="shared" si="4"/>
        <v>46301</v>
      </c>
      <c r="C25" s="29">
        <f t="shared" si="3"/>
        <v>46331</v>
      </c>
      <c r="D25" s="28">
        <v>30.0</v>
      </c>
      <c r="E25" s="28">
        <v>20.0</v>
      </c>
      <c r="F25" s="30">
        <v>2800.0</v>
      </c>
      <c r="G25" s="31"/>
    </row>
    <row r="26">
      <c r="A26" s="28">
        <v>6.0</v>
      </c>
      <c r="B26" s="40">
        <f t="shared" si="4"/>
        <v>46332</v>
      </c>
      <c r="C26" s="29">
        <f t="shared" si="3"/>
        <v>46362</v>
      </c>
      <c r="D26" s="28">
        <v>30.0</v>
      </c>
      <c r="E26" s="28">
        <v>20.0</v>
      </c>
      <c r="F26" s="30">
        <v>2800.0</v>
      </c>
      <c r="G26" s="31"/>
    </row>
    <row r="27">
      <c r="A27" s="28">
        <v>7.0</v>
      </c>
      <c r="B27" s="40">
        <f t="shared" si="4"/>
        <v>46363</v>
      </c>
      <c r="C27" s="29">
        <f t="shared" si="3"/>
        <v>46393</v>
      </c>
      <c r="D27" s="28">
        <v>30.0</v>
      </c>
      <c r="E27" s="28">
        <v>20.0</v>
      </c>
      <c r="F27" s="30">
        <v>2800.0</v>
      </c>
      <c r="G27" s="31"/>
      <c r="H27" s="41" t="s">
        <v>99</v>
      </c>
    </row>
    <row r="28">
      <c r="A28" s="33">
        <v>8.0</v>
      </c>
      <c r="B28" s="42">
        <f t="shared" si="4"/>
        <v>46394</v>
      </c>
      <c r="C28" s="34">
        <f t="shared" si="3"/>
        <v>46424</v>
      </c>
      <c r="D28" s="33">
        <v>30.0</v>
      </c>
      <c r="E28" s="33">
        <v>20.0</v>
      </c>
      <c r="F28" s="43">
        <v>2800.0</v>
      </c>
      <c r="G28" s="31"/>
      <c r="H28" s="44">
        <f>Bolsas_Empresa_cc15334.6[[#TOTALS],[Total]]-F29</f>
        <v>0</v>
      </c>
    </row>
    <row r="29">
      <c r="A29" s="28" t="s">
        <v>11</v>
      </c>
      <c r="B29" s="31"/>
      <c r="C29" s="28"/>
      <c r="E29" s="31">
        <f t="shared" ref="E29:F29" si="5">SUM(E21:E28)</f>
        <v>160</v>
      </c>
      <c r="F29" s="32">
        <f t="shared" si="5"/>
        <v>22400</v>
      </c>
    </row>
  </sheetData>
  <mergeCells count="3">
    <mergeCell ref="A6:AC6"/>
    <mergeCell ref="A16:C16"/>
    <mergeCell ref="A19:AC19"/>
  </mergeCells>
  <dataValidations>
    <dataValidation type="custom" allowBlank="1" showDropDown="1" sqref="K2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5"/>
    <col customWidth="1" min="2" max="2" width="17.13"/>
    <col customWidth="1" min="3" max="3" width="12.5"/>
    <col customWidth="1" min="4" max="4" width="26.25"/>
    <col customWidth="1" min="5" max="5" width="24.0"/>
    <col customWidth="1" min="6" max="6" width="7.75"/>
    <col customWidth="1" min="7" max="7" width="11.13"/>
    <col customWidth="1" min="8" max="8" width="15.88"/>
    <col customWidth="1" min="9" max="9" width="15.75"/>
    <col customWidth="1" min="10" max="10" width="11.88"/>
    <col customWidth="1" min="11" max="11" width="14.25"/>
    <col customWidth="1" min="12" max="12" width="1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22.5" customHeight="1">
      <c r="A2" s="1">
        <v>1.0</v>
      </c>
      <c r="B2" s="1" t="s">
        <v>21</v>
      </c>
      <c r="C2" s="1" t="s">
        <v>22</v>
      </c>
      <c r="D2" s="5" t="s">
        <v>23</v>
      </c>
      <c r="E2" s="5" t="s">
        <v>24</v>
      </c>
      <c r="F2" s="1" t="s">
        <v>25</v>
      </c>
      <c r="G2" s="6">
        <v>46174.0</v>
      </c>
      <c r="H2" s="6">
        <v>46446.0</v>
      </c>
      <c r="I2" s="1">
        <v>360.0</v>
      </c>
      <c r="J2" s="1">
        <v>3.0</v>
      </c>
      <c r="K2" s="7">
        <v>12000.0</v>
      </c>
      <c r="L2" s="8">
        <f t="shared" ref="L2:L13" si="1">J2*K2</f>
        <v>36000</v>
      </c>
    </row>
    <row r="3" ht="22.5" customHeight="1">
      <c r="A3" s="1">
        <v>2.0</v>
      </c>
      <c r="B3" s="1" t="s">
        <v>43</v>
      </c>
      <c r="C3" s="1" t="s">
        <v>44</v>
      </c>
      <c r="D3" s="17" t="s">
        <v>45</v>
      </c>
      <c r="E3" s="5" t="s">
        <v>46</v>
      </c>
      <c r="F3" s="1" t="s">
        <v>25</v>
      </c>
      <c r="G3" s="6">
        <v>46198.0</v>
      </c>
      <c r="H3" s="6">
        <v>46446.0</v>
      </c>
      <c r="I3" s="1">
        <v>360.0</v>
      </c>
      <c r="J3" s="1">
        <v>3.0</v>
      </c>
      <c r="K3" s="7">
        <v>5000.0</v>
      </c>
      <c r="L3" s="8">
        <f t="shared" si="1"/>
        <v>15000</v>
      </c>
    </row>
    <row r="4" ht="22.5" customHeight="1">
      <c r="A4" s="1">
        <v>3.0</v>
      </c>
      <c r="B4" s="1" t="s">
        <v>47</v>
      </c>
      <c r="C4" s="1" t="s">
        <v>44</v>
      </c>
      <c r="D4" s="17" t="s">
        <v>48</v>
      </c>
      <c r="E4" s="5" t="s">
        <v>49</v>
      </c>
      <c r="F4" s="1" t="s">
        <v>25</v>
      </c>
      <c r="G4" s="6">
        <v>46198.0</v>
      </c>
      <c r="H4" s="6">
        <v>46446.0</v>
      </c>
      <c r="I4" s="1">
        <v>360.0</v>
      </c>
      <c r="J4" s="1">
        <v>3.0</v>
      </c>
      <c r="K4" s="7">
        <v>2000.0</v>
      </c>
      <c r="L4" s="8">
        <f t="shared" si="1"/>
        <v>6000</v>
      </c>
    </row>
    <row r="5" ht="22.5" customHeight="1">
      <c r="A5" s="1">
        <v>4.0</v>
      </c>
      <c r="B5" s="1" t="s">
        <v>50</v>
      </c>
      <c r="C5" s="1" t="s">
        <v>44</v>
      </c>
      <c r="D5" s="17" t="s">
        <v>51</v>
      </c>
      <c r="E5" s="5" t="s">
        <v>52</v>
      </c>
      <c r="F5" s="1" t="s">
        <v>25</v>
      </c>
      <c r="G5" s="6">
        <v>46198.0</v>
      </c>
      <c r="H5" s="6">
        <v>46446.0</v>
      </c>
      <c r="I5" s="1">
        <v>360.0</v>
      </c>
      <c r="J5" s="1">
        <v>2.0</v>
      </c>
      <c r="K5" s="7">
        <v>2000.0</v>
      </c>
      <c r="L5" s="8">
        <f t="shared" si="1"/>
        <v>4000</v>
      </c>
    </row>
    <row r="6" ht="22.5" customHeight="1">
      <c r="A6" s="1">
        <v>5.0</v>
      </c>
      <c r="B6" s="1" t="s">
        <v>53</v>
      </c>
      <c r="C6" s="1" t="s">
        <v>44</v>
      </c>
      <c r="D6" s="17" t="s">
        <v>54</v>
      </c>
      <c r="E6" s="5" t="s">
        <v>55</v>
      </c>
      <c r="F6" s="1" t="s">
        <v>25</v>
      </c>
      <c r="G6" s="6">
        <v>46198.0</v>
      </c>
      <c r="H6" s="6">
        <v>46446.0</v>
      </c>
      <c r="I6" s="1">
        <v>360.0</v>
      </c>
      <c r="J6" s="1">
        <v>5.0</v>
      </c>
      <c r="K6" s="7">
        <v>2000.0</v>
      </c>
      <c r="L6" s="8">
        <f t="shared" si="1"/>
        <v>10000</v>
      </c>
    </row>
    <row r="7" ht="22.5" customHeight="1">
      <c r="A7" s="1">
        <v>6.0</v>
      </c>
      <c r="B7" s="1" t="s">
        <v>56</v>
      </c>
      <c r="C7" s="1" t="s">
        <v>44</v>
      </c>
      <c r="D7" s="17" t="s">
        <v>57</v>
      </c>
      <c r="E7" s="5" t="s">
        <v>58</v>
      </c>
      <c r="F7" s="1" t="s">
        <v>25</v>
      </c>
      <c r="G7" s="6">
        <v>46198.0</v>
      </c>
      <c r="H7" s="6">
        <v>46446.0</v>
      </c>
      <c r="I7" s="1">
        <v>360.0</v>
      </c>
      <c r="J7" s="1">
        <v>1.0</v>
      </c>
      <c r="K7" s="7">
        <v>2000.0</v>
      </c>
      <c r="L7" s="8">
        <f t="shared" si="1"/>
        <v>2000</v>
      </c>
    </row>
    <row r="8" ht="22.5" customHeight="1">
      <c r="A8" s="1">
        <v>7.0</v>
      </c>
      <c r="B8" s="1" t="s">
        <v>59</v>
      </c>
      <c r="C8" s="1" t="s">
        <v>60</v>
      </c>
      <c r="D8" s="17" t="s">
        <v>61</v>
      </c>
      <c r="E8" s="5" t="s">
        <v>62</v>
      </c>
      <c r="F8" s="1" t="s">
        <v>25</v>
      </c>
      <c r="G8" s="6">
        <v>46216.0</v>
      </c>
      <c r="H8" s="6">
        <v>46446.0</v>
      </c>
      <c r="I8" s="1">
        <v>360.0</v>
      </c>
      <c r="J8" s="1">
        <v>3.0</v>
      </c>
      <c r="K8" s="7">
        <v>7000.0</v>
      </c>
      <c r="L8" s="8">
        <f t="shared" si="1"/>
        <v>21000</v>
      </c>
    </row>
    <row r="9" ht="22.5" customHeight="1">
      <c r="A9" s="1">
        <v>8.0</v>
      </c>
      <c r="B9" s="1" t="s">
        <v>66</v>
      </c>
      <c r="C9" s="1" t="s">
        <v>67</v>
      </c>
      <c r="D9" s="17" t="s">
        <v>68</v>
      </c>
      <c r="E9" s="5" t="s">
        <v>69</v>
      </c>
      <c r="F9" s="1" t="s">
        <v>25</v>
      </c>
      <c r="G9" s="6">
        <v>46223.0</v>
      </c>
      <c r="H9" s="6">
        <v>46446.0</v>
      </c>
      <c r="I9" s="1">
        <v>360.0</v>
      </c>
      <c r="J9" s="1">
        <v>3.0</v>
      </c>
      <c r="K9" s="7">
        <v>5000.0</v>
      </c>
      <c r="L9" s="8">
        <f t="shared" si="1"/>
        <v>15000</v>
      </c>
    </row>
    <row r="10" ht="22.5" customHeight="1">
      <c r="A10" s="1">
        <v>9.0</v>
      </c>
      <c r="B10" s="1" t="s">
        <v>74</v>
      </c>
      <c r="C10" s="1" t="s">
        <v>75</v>
      </c>
      <c r="D10" s="17" t="s">
        <v>76</v>
      </c>
      <c r="E10" s="5" t="s">
        <v>77</v>
      </c>
      <c r="F10" s="1" t="s">
        <v>25</v>
      </c>
      <c r="G10" s="6">
        <v>46223.0</v>
      </c>
      <c r="H10" s="6">
        <v>46446.0</v>
      </c>
      <c r="I10" s="1">
        <v>320.0</v>
      </c>
      <c r="J10" s="1">
        <v>0.0</v>
      </c>
      <c r="K10" s="7">
        <v>2125.0</v>
      </c>
      <c r="L10" s="8">
        <f t="shared" si="1"/>
        <v>0</v>
      </c>
    </row>
    <row r="11" ht="22.5" customHeight="1">
      <c r="A11" s="1">
        <v>10.0</v>
      </c>
      <c r="B11" s="1" t="s">
        <v>78</v>
      </c>
      <c r="C11" s="1" t="s">
        <v>75</v>
      </c>
      <c r="D11" s="17" t="s">
        <v>79</v>
      </c>
      <c r="E11" s="5" t="s">
        <v>80</v>
      </c>
      <c r="F11" s="1" t="s">
        <v>25</v>
      </c>
      <c r="G11" s="6">
        <v>46223.0</v>
      </c>
      <c r="H11" s="6">
        <v>46446.0</v>
      </c>
      <c r="I11" s="1">
        <v>360.0</v>
      </c>
      <c r="J11" s="1">
        <v>5.0</v>
      </c>
      <c r="K11" s="7">
        <v>2000.0</v>
      </c>
      <c r="L11" s="8">
        <f t="shared" si="1"/>
        <v>10000</v>
      </c>
    </row>
    <row r="12" ht="22.5" customHeight="1">
      <c r="A12" s="1">
        <v>11.0</v>
      </c>
      <c r="B12" s="1" t="s">
        <v>81</v>
      </c>
      <c r="C12" s="1" t="s">
        <v>82</v>
      </c>
      <c r="D12" s="17" t="s">
        <v>83</v>
      </c>
      <c r="E12" s="5" t="s">
        <v>84</v>
      </c>
      <c r="F12" s="1" t="s">
        <v>25</v>
      </c>
      <c r="G12" s="6">
        <v>46230.0</v>
      </c>
      <c r="H12" s="6">
        <v>46446.0</v>
      </c>
      <c r="I12" s="1">
        <v>360.0</v>
      </c>
      <c r="J12" s="1">
        <v>3.0</v>
      </c>
      <c r="K12" s="7">
        <v>5000.0</v>
      </c>
      <c r="L12" s="8">
        <f t="shared" si="1"/>
        <v>15000</v>
      </c>
    </row>
    <row r="13" ht="22.5" customHeight="1">
      <c r="A13" s="1">
        <v>12.0</v>
      </c>
      <c r="B13" s="1" t="s">
        <v>87</v>
      </c>
      <c r="C13" s="1" t="s">
        <v>82</v>
      </c>
      <c r="D13" s="17" t="s">
        <v>88</v>
      </c>
      <c r="E13" s="17" t="s">
        <v>89</v>
      </c>
      <c r="F13" s="1" t="s">
        <v>25</v>
      </c>
      <c r="G13" s="6">
        <v>46230.0</v>
      </c>
      <c r="H13" s="6">
        <v>46446.0</v>
      </c>
      <c r="I13" s="1">
        <v>360.0</v>
      </c>
      <c r="J13" s="1">
        <v>3.0</v>
      </c>
      <c r="K13" s="7">
        <v>5000.0</v>
      </c>
      <c r="L13" s="8">
        <f t="shared" si="1"/>
        <v>15000</v>
      </c>
    </row>
    <row r="14" ht="22.5" customHeight="1">
      <c r="A14" s="1"/>
      <c r="B14" s="1"/>
      <c r="C14" s="1"/>
      <c r="D14" s="19"/>
      <c r="E14" s="19"/>
      <c r="F14" s="19"/>
      <c r="G14" s="1"/>
      <c r="H14" s="1"/>
      <c r="I14" s="1"/>
      <c r="J14" s="21" t="s">
        <v>91</v>
      </c>
      <c r="K14" s="7">
        <f>SUM(Bolsas_Sebrae_cc15335.4[Parcela])</f>
        <v>51125</v>
      </c>
      <c r="L14" s="7">
        <f>SUM(Bolsas_Sebrae_cc15335.4[Total])</f>
        <v>149000</v>
      </c>
    </row>
  </sheetData>
  <dataValidations>
    <dataValidation type="custom" allowBlank="1" showDropDown="1" sqref="K2:K13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5"/>
    <col customWidth="1" min="2" max="2" width="17.13"/>
    <col customWidth="1" min="3" max="3" width="12.5"/>
    <col customWidth="1" min="4" max="4" width="26.38"/>
    <col customWidth="1" min="5" max="5" width="24.13"/>
    <col customWidth="1" min="6" max="6" width="7.88"/>
    <col customWidth="1" min="7" max="7" width="11.13"/>
    <col customWidth="1" min="8" max="8" width="15.88"/>
    <col customWidth="1" min="9" max="9" width="15.75"/>
    <col customWidth="1" min="10" max="10" width="12.0"/>
    <col customWidth="1" min="11" max="11" width="14.38"/>
    <col customWidth="1" min="12" max="12" width="1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22.5" customHeight="1">
      <c r="A2" s="1">
        <v>1.0</v>
      </c>
      <c r="B2" s="1" t="s">
        <v>21</v>
      </c>
      <c r="C2" s="1" t="s">
        <v>22</v>
      </c>
      <c r="D2" s="5" t="s">
        <v>23</v>
      </c>
      <c r="E2" s="5" t="s">
        <v>24</v>
      </c>
      <c r="F2" s="1" t="s">
        <v>25</v>
      </c>
      <c r="G2" s="6">
        <v>46174.0</v>
      </c>
      <c r="H2" s="6">
        <v>46446.0</v>
      </c>
      <c r="I2" s="1">
        <v>360.0</v>
      </c>
      <c r="J2" s="1">
        <v>6.0</v>
      </c>
      <c r="K2" s="7">
        <v>12000.0</v>
      </c>
      <c r="L2" s="8">
        <f t="shared" ref="L2:L13" si="1">J2*K2</f>
        <v>72000</v>
      </c>
    </row>
    <row r="3" ht="22.5" customHeight="1">
      <c r="A3" s="1">
        <v>2.0</v>
      </c>
      <c r="B3" s="1" t="s">
        <v>43</v>
      </c>
      <c r="C3" s="1" t="s">
        <v>44</v>
      </c>
      <c r="D3" s="17" t="s">
        <v>45</v>
      </c>
      <c r="E3" s="5" t="s">
        <v>46</v>
      </c>
      <c r="F3" s="1" t="s">
        <v>25</v>
      </c>
      <c r="G3" s="6">
        <v>46198.0</v>
      </c>
      <c r="H3" s="6">
        <v>46446.0</v>
      </c>
      <c r="I3" s="1">
        <v>360.0</v>
      </c>
      <c r="J3" s="1">
        <v>6.0</v>
      </c>
      <c r="K3" s="7">
        <v>5000.0</v>
      </c>
      <c r="L3" s="8">
        <f t="shared" si="1"/>
        <v>30000</v>
      </c>
    </row>
    <row r="4" ht="22.5" customHeight="1">
      <c r="A4" s="1">
        <v>3.0</v>
      </c>
      <c r="B4" s="1" t="s">
        <v>47</v>
      </c>
      <c r="C4" s="1" t="s">
        <v>44</v>
      </c>
      <c r="D4" s="17" t="s">
        <v>48</v>
      </c>
      <c r="E4" s="5" t="s">
        <v>49</v>
      </c>
      <c r="F4" s="1" t="s">
        <v>25</v>
      </c>
      <c r="G4" s="6">
        <v>46198.0</v>
      </c>
      <c r="H4" s="6">
        <v>46446.0</v>
      </c>
      <c r="I4" s="1">
        <v>360.0</v>
      </c>
      <c r="J4" s="1">
        <v>6.0</v>
      </c>
      <c r="K4" s="7">
        <v>2000.0</v>
      </c>
      <c r="L4" s="8">
        <f t="shared" si="1"/>
        <v>12000</v>
      </c>
    </row>
    <row r="5" ht="22.5" customHeight="1">
      <c r="A5" s="1">
        <v>4.0</v>
      </c>
      <c r="B5" s="1" t="s">
        <v>50</v>
      </c>
      <c r="C5" s="1" t="s">
        <v>44</v>
      </c>
      <c r="D5" s="17" t="s">
        <v>51</v>
      </c>
      <c r="E5" s="5" t="s">
        <v>52</v>
      </c>
      <c r="F5" s="1" t="s">
        <v>25</v>
      </c>
      <c r="G5" s="6">
        <v>46198.0</v>
      </c>
      <c r="H5" s="6">
        <v>46446.0</v>
      </c>
      <c r="I5" s="1">
        <v>360.0</v>
      </c>
      <c r="J5" s="1">
        <v>7.0</v>
      </c>
      <c r="K5" s="7">
        <v>2000.0</v>
      </c>
      <c r="L5" s="8">
        <f t="shared" si="1"/>
        <v>14000</v>
      </c>
    </row>
    <row r="6" ht="22.5" customHeight="1">
      <c r="A6" s="1">
        <v>5.0</v>
      </c>
      <c r="B6" s="1" t="s">
        <v>53</v>
      </c>
      <c r="C6" s="1" t="s">
        <v>44</v>
      </c>
      <c r="D6" s="17" t="s">
        <v>54</v>
      </c>
      <c r="E6" s="5" t="s">
        <v>55</v>
      </c>
      <c r="F6" s="1" t="s">
        <v>25</v>
      </c>
      <c r="G6" s="6">
        <v>46198.0</v>
      </c>
      <c r="H6" s="6">
        <v>46446.0</v>
      </c>
      <c r="I6" s="1">
        <v>360.0</v>
      </c>
      <c r="J6" s="1">
        <v>4.0</v>
      </c>
      <c r="K6" s="7">
        <v>2000.0</v>
      </c>
      <c r="L6" s="8">
        <f t="shared" si="1"/>
        <v>8000</v>
      </c>
    </row>
    <row r="7" ht="22.5" customHeight="1">
      <c r="A7" s="1">
        <v>6.0</v>
      </c>
      <c r="B7" s="1" t="s">
        <v>56</v>
      </c>
      <c r="C7" s="1" t="s">
        <v>44</v>
      </c>
      <c r="D7" s="17" t="s">
        <v>57</v>
      </c>
      <c r="E7" s="5" t="s">
        <v>58</v>
      </c>
      <c r="F7" s="1" t="s">
        <v>25</v>
      </c>
      <c r="G7" s="6">
        <v>46198.0</v>
      </c>
      <c r="H7" s="6">
        <v>46446.0</v>
      </c>
      <c r="I7" s="1">
        <v>360.0</v>
      </c>
      <c r="J7" s="1">
        <v>8.0</v>
      </c>
      <c r="K7" s="7">
        <v>2000.0</v>
      </c>
      <c r="L7" s="8">
        <f t="shared" si="1"/>
        <v>16000</v>
      </c>
    </row>
    <row r="8" ht="22.5" customHeight="1">
      <c r="A8" s="1">
        <v>7.0</v>
      </c>
      <c r="B8" s="1" t="s">
        <v>59</v>
      </c>
      <c r="C8" s="1" t="s">
        <v>60</v>
      </c>
      <c r="D8" s="17" t="s">
        <v>61</v>
      </c>
      <c r="E8" s="5" t="s">
        <v>62</v>
      </c>
      <c r="F8" s="1" t="s">
        <v>25</v>
      </c>
      <c r="G8" s="6">
        <v>46216.0</v>
      </c>
      <c r="H8" s="6">
        <v>46446.0</v>
      </c>
      <c r="I8" s="1">
        <v>360.0</v>
      </c>
      <c r="J8" s="1">
        <v>6.0</v>
      </c>
      <c r="K8" s="7">
        <v>7000.0</v>
      </c>
      <c r="L8" s="8">
        <f t="shared" si="1"/>
        <v>42000</v>
      </c>
    </row>
    <row r="9" ht="22.5" customHeight="1">
      <c r="A9" s="1">
        <v>8.0</v>
      </c>
      <c r="B9" s="1" t="s">
        <v>66</v>
      </c>
      <c r="C9" s="1" t="s">
        <v>67</v>
      </c>
      <c r="D9" s="17" t="s">
        <v>68</v>
      </c>
      <c r="E9" s="5" t="s">
        <v>69</v>
      </c>
      <c r="F9" s="1" t="s">
        <v>25</v>
      </c>
      <c r="G9" s="6">
        <v>46223.0</v>
      </c>
      <c r="H9" s="6">
        <v>46446.0</v>
      </c>
      <c r="I9" s="1">
        <v>360.0</v>
      </c>
      <c r="J9" s="1">
        <v>6.0</v>
      </c>
      <c r="K9" s="7">
        <v>5000.0</v>
      </c>
      <c r="L9" s="8">
        <f t="shared" si="1"/>
        <v>30000</v>
      </c>
    </row>
    <row r="10" ht="22.5" customHeight="1">
      <c r="A10" s="1">
        <v>9.0</v>
      </c>
      <c r="B10" s="1" t="s">
        <v>74</v>
      </c>
      <c r="C10" s="1" t="s">
        <v>75</v>
      </c>
      <c r="D10" s="17" t="s">
        <v>76</v>
      </c>
      <c r="E10" s="5" t="s">
        <v>77</v>
      </c>
      <c r="F10" s="1" t="s">
        <v>25</v>
      </c>
      <c r="G10" s="6">
        <v>46223.0</v>
      </c>
      <c r="H10" s="6">
        <v>46446.0</v>
      </c>
      <c r="I10" s="1">
        <v>320.0</v>
      </c>
      <c r="J10" s="1">
        <v>8.0</v>
      </c>
      <c r="K10" s="7">
        <v>2125.0</v>
      </c>
      <c r="L10" s="8">
        <f t="shared" si="1"/>
        <v>17000</v>
      </c>
    </row>
    <row r="11" ht="22.5" customHeight="1">
      <c r="A11" s="1">
        <v>10.0</v>
      </c>
      <c r="B11" s="1" t="s">
        <v>78</v>
      </c>
      <c r="C11" s="1" t="s">
        <v>75</v>
      </c>
      <c r="D11" s="17" t="s">
        <v>79</v>
      </c>
      <c r="E11" s="5" t="s">
        <v>80</v>
      </c>
      <c r="F11" s="1" t="s">
        <v>25</v>
      </c>
      <c r="G11" s="6">
        <v>46223.0</v>
      </c>
      <c r="H11" s="6">
        <v>46446.0</v>
      </c>
      <c r="I11" s="1">
        <v>360.0</v>
      </c>
      <c r="J11" s="1">
        <v>4.0</v>
      </c>
      <c r="K11" s="7">
        <v>2000.0</v>
      </c>
      <c r="L11" s="8">
        <f t="shared" si="1"/>
        <v>8000</v>
      </c>
    </row>
    <row r="12" ht="22.5" customHeight="1">
      <c r="A12" s="1">
        <v>11.0</v>
      </c>
      <c r="B12" s="1" t="s">
        <v>81</v>
      </c>
      <c r="C12" s="1" t="s">
        <v>82</v>
      </c>
      <c r="D12" s="17" t="s">
        <v>83</v>
      </c>
      <c r="E12" s="5" t="s">
        <v>84</v>
      </c>
      <c r="F12" s="1" t="s">
        <v>25</v>
      </c>
      <c r="G12" s="6">
        <v>46230.0</v>
      </c>
      <c r="H12" s="6">
        <v>46446.0</v>
      </c>
      <c r="I12" s="1">
        <v>360.0</v>
      </c>
      <c r="J12" s="1">
        <v>6.0</v>
      </c>
      <c r="K12" s="7">
        <v>5000.0</v>
      </c>
      <c r="L12" s="8">
        <f t="shared" si="1"/>
        <v>30000</v>
      </c>
    </row>
    <row r="13" ht="22.5" customHeight="1">
      <c r="A13" s="1">
        <v>12.0</v>
      </c>
      <c r="B13" s="1" t="s">
        <v>87</v>
      </c>
      <c r="C13" s="1" t="s">
        <v>82</v>
      </c>
      <c r="D13" s="17" t="s">
        <v>88</v>
      </c>
      <c r="E13" s="17" t="s">
        <v>89</v>
      </c>
      <c r="F13" s="17" t="s">
        <v>25</v>
      </c>
      <c r="G13" s="6">
        <v>46230.0</v>
      </c>
      <c r="H13" s="6">
        <v>46446.0</v>
      </c>
      <c r="I13" s="1">
        <v>360.0</v>
      </c>
      <c r="J13" s="1">
        <v>6.0</v>
      </c>
      <c r="K13" s="7">
        <v>5000.0</v>
      </c>
      <c r="L13" s="8">
        <f t="shared" si="1"/>
        <v>30000</v>
      </c>
    </row>
    <row r="14" ht="22.5" customHeight="1">
      <c r="A14" s="19"/>
      <c r="B14" s="19"/>
      <c r="C14" s="19"/>
      <c r="D14" s="19"/>
      <c r="E14" s="19"/>
      <c r="F14" s="19"/>
      <c r="G14" s="19"/>
      <c r="H14" s="19"/>
      <c r="I14" s="19"/>
      <c r="J14" s="21" t="s">
        <v>91</v>
      </c>
      <c r="K14" s="22">
        <f>SUM(Bolsas_Embrapii_cc15338.9[Parcela])</f>
        <v>51125</v>
      </c>
      <c r="L14" s="22">
        <f>SUM(Bolsas_Embrapii_cc15338.9[Total])</f>
        <v>309000</v>
      </c>
    </row>
    <row r="15">
      <c r="A15" s="45"/>
      <c r="B15" s="45"/>
      <c r="C15" s="45"/>
      <c r="D15" s="45"/>
      <c r="E15" s="45"/>
      <c r="F15" s="45"/>
      <c r="G15" s="45"/>
      <c r="H15" s="45"/>
      <c r="I15" s="45"/>
      <c r="J15" s="45"/>
    </row>
    <row r="16">
      <c r="A16" s="45"/>
      <c r="B16" s="45"/>
      <c r="C16" s="45"/>
      <c r="D16" s="45"/>
      <c r="E16" s="45"/>
      <c r="F16" s="45"/>
      <c r="G16" s="45"/>
      <c r="H16" s="45"/>
      <c r="I16" s="45"/>
      <c r="J16" s="45"/>
    </row>
    <row r="17">
      <c r="A17" s="45"/>
      <c r="B17" s="45"/>
      <c r="C17" s="45"/>
      <c r="D17" s="45"/>
      <c r="E17" s="45"/>
      <c r="F17" s="45"/>
      <c r="G17" s="45"/>
      <c r="H17" s="45"/>
      <c r="I17" s="45"/>
      <c r="J17" s="45"/>
    </row>
    <row r="18">
      <c r="A18" s="45"/>
      <c r="B18" s="45"/>
      <c r="C18" s="45"/>
      <c r="D18" s="45"/>
      <c r="E18" s="45"/>
      <c r="F18" s="45"/>
      <c r="G18" s="45"/>
      <c r="H18" s="45"/>
      <c r="I18" s="45"/>
      <c r="J18" s="45"/>
    </row>
    <row r="19">
      <c r="A19" s="45"/>
      <c r="B19" s="45"/>
      <c r="C19" s="45"/>
      <c r="D19" s="45"/>
      <c r="E19" s="45"/>
      <c r="F19" s="45"/>
      <c r="G19" s="45"/>
      <c r="H19" s="45"/>
      <c r="I19" s="45"/>
      <c r="J19" s="45"/>
    </row>
    <row r="20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</row>
    <row r="21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</row>
    <row r="22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</row>
    <row r="2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</row>
    <row r="24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</row>
    <row r="25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</row>
    <row r="26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</row>
    <row r="27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</row>
    <row r="28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</row>
    <row r="29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</row>
    <row r="30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</row>
    <row r="31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</row>
    <row r="32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</row>
    <row r="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</row>
    <row r="34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</row>
    <row r="35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</row>
    <row r="36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</row>
    <row r="37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</row>
    <row r="38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</row>
    <row r="39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</row>
    <row r="40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</row>
    <row r="41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</row>
    <row r="42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</row>
    <row r="4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</row>
    <row r="44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</row>
    <row r="45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</row>
    <row r="46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</row>
    <row r="47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</row>
    <row r="48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</row>
    <row r="49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</row>
    <row r="50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</row>
    <row r="51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</row>
    <row r="52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</row>
    <row r="54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</row>
    <row r="58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</row>
    <row r="5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</row>
    <row r="60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</row>
    <row r="61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</row>
    <row r="62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</row>
    <row r="6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</row>
    <row r="64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</row>
    <row r="6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</row>
    <row r="6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</row>
    <row r="67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</row>
    <row r="68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</row>
    <row r="69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</row>
    <row r="70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</row>
    <row r="71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</row>
    <row r="72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</row>
    <row r="7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</row>
    <row r="74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</row>
    <row r="75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</row>
    <row r="7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</row>
    <row r="77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</row>
    <row r="78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</row>
    <row r="79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</row>
    <row r="80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</row>
    <row r="81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</row>
    <row r="82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</row>
    <row r="8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</row>
    <row r="84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</row>
    <row r="85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</row>
    <row r="8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</row>
    <row r="87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</row>
    <row r="88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</row>
    <row r="89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</row>
    <row r="90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</row>
    <row r="760">
      <c r="A760" s="45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</row>
    <row r="761">
      <c r="A761" s="45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</row>
    <row r="762">
      <c r="A762" s="45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</row>
    <row r="763">
      <c r="A763" s="45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</row>
    <row r="764">
      <c r="A764" s="45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</row>
    <row r="765">
      <c r="A765" s="45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</row>
    <row r="766">
      <c r="A766" s="45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</row>
    <row r="767">
      <c r="A767" s="45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</row>
    <row r="768">
      <c r="A768" s="45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</row>
    <row r="769">
      <c r="A769" s="45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</row>
    <row r="770">
      <c r="A770" s="45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</row>
    <row r="771">
      <c r="A771" s="45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</row>
    <row r="772">
      <c r="A772" s="45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</row>
    <row r="773">
      <c r="A773" s="45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</row>
    <row r="774">
      <c r="A774" s="45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</row>
    <row r="775">
      <c r="A775" s="45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</row>
    <row r="776">
      <c r="A776" s="45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</row>
    <row r="777">
      <c r="A777" s="45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</row>
    <row r="778">
      <c r="A778" s="45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</row>
    <row r="779">
      <c r="A779" s="45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</row>
    <row r="780">
      <c r="A780" s="45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</row>
    <row r="781">
      <c r="A781" s="45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</row>
    <row r="782">
      <c r="A782" s="45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</row>
    <row r="783">
      <c r="A783" s="45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</row>
    <row r="784">
      <c r="A784" s="45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</row>
    <row r="785">
      <c r="A785" s="45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</row>
    <row r="786">
      <c r="A786" s="45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</row>
    <row r="787">
      <c r="A787" s="45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</row>
    <row r="788">
      <c r="A788" s="45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</row>
    <row r="789">
      <c r="A789" s="45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</row>
    <row r="790">
      <c r="A790" s="45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</row>
    <row r="791">
      <c r="A791" s="45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</row>
    <row r="792">
      <c r="A792" s="45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</row>
    <row r="793">
      <c r="A793" s="45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</row>
    <row r="794">
      <c r="A794" s="45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</row>
    <row r="795">
      <c r="A795" s="45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</row>
    <row r="796">
      <c r="A796" s="45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</row>
    <row r="797">
      <c r="A797" s="45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</row>
    <row r="798">
      <c r="A798" s="45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</row>
    <row r="799">
      <c r="A799" s="45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</row>
    <row r="800">
      <c r="A800" s="45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</row>
    <row r="801">
      <c r="A801" s="45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</row>
    <row r="802">
      <c r="A802" s="45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</row>
    <row r="803">
      <c r="A803" s="45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</row>
    <row r="804">
      <c r="A804" s="45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</row>
    <row r="805">
      <c r="A805" s="45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</row>
    <row r="806">
      <c r="A806" s="45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</row>
    <row r="807">
      <c r="A807" s="45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</row>
    <row r="808">
      <c r="A808" s="45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</row>
    <row r="809">
      <c r="A809" s="45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</row>
    <row r="810">
      <c r="A810" s="45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</row>
    <row r="811">
      <c r="A811" s="45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</row>
    <row r="812">
      <c r="A812" s="45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</row>
    <row r="813">
      <c r="A813" s="45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</row>
    <row r="814">
      <c r="A814" s="45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</row>
    <row r="815">
      <c r="A815" s="45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</row>
    <row r="816">
      <c r="A816" s="45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</row>
    <row r="817">
      <c r="A817" s="45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</row>
    <row r="818">
      <c r="A818" s="45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</row>
    <row r="819">
      <c r="A819" s="45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</row>
    <row r="820">
      <c r="A820" s="45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</row>
    <row r="821">
      <c r="A821" s="45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</row>
    <row r="822">
      <c r="A822" s="45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</row>
    <row r="823">
      <c r="A823" s="45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</row>
    <row r="824">
      <c r="A824" s="45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</row>
    <row r="825">
      <c r="A825" s="45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</row>
    <row r="826">
      <c r="A826" s="45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</row>
    <row r="827">
      <c r="A827" s="45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</row>
    <row r="828">
      <c r="A828" s="45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</row>
    <row r="829">
      <c r="A829" s="45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</row>
    <row r="830">
      <c r="A830" s="45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</row>
    <row r="831">
      <c r="A831" s="45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</row>
    <row r="832">
      <c r="A832" s="45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</row>
    <row r="833">
      <c r="A833" s="45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</row>
    <row r="834">
      <c r="A834" s="45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</row>
    <row r="835">
      <c r="A835" s="45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</row>
    <row r="836">
      <c r="A836" s="45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</row>
    <row r="837">
      <c r="A837" s="45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</row>
    <row r="838">
      <c r="A838" s="45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</row>
    <row r="839">
      <c r="A839" s="45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</row>
    <row r="840">
      <c r="A840" s="45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</row>
    <row r="841">
      <c r="A841" s="45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</row>
    <row r="842">
      <c r="A842" s="45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</row>
    <row r="843">
      <c r="A843" s="45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</row>
    <row r="844">
      <c r="A844" s="45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</row>
    <row r="845">
      <c r="A845" s="45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</row>
    <row r="846">
      <c r="A846" s="45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</row>
    <row r="847">
      <c r="A847" s="45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</row>
    <row r="848">
      <c r="A848" s="45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</row>
    <row r="849">
      <c r="A849" s="45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</row>
    <row r="850">
      <c r="A850" s="45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</row>
    <row r="851">
      <c r="A851" s="45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</row>
    <row r="852">
      <c r="A852" s="45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</row>
    <row r="853">
      <c r="A853" s="45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</row>
    <row r="854">
      <c r="A854" s="45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</row>
    <row r="855">
      <c r="A855" s="45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</row>
    <row r="856">
      <c r="A856" s="45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</row>
    <row r="857">
      <c r="A857" s="45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</row>
    <row r="858">
      <c r="A858" s="45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</row>
    <row r="859">
      <c r="A859" s="45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</row>
    <row r="860">
      <c r="A860" s="45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</row>
    <row r="861">
      <c r="A861" s="45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</row>
    <row r="862">
      <c r="A862" s="45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</row>
    <row r="863">
      <c r="A863" s="45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</row>
    <row r="864">
      <c r="A864" s="45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</row>
    <row r="865">
      <c r="A865" s="45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</row>
    <row r="866">
      <c r="A866" s="45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</row>
    <row r="867">
      <c r="A867" s="45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</row>
    <row r="868">
      <c r="A868" s="45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</row>
    <row r="869">
      <c r="A869" s="45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</row>
    <row r="870">
      <c r="A870" s="45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</row>
    <row r="871">
      <c r="A871" s="45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</row>
    <row r="872">
      <c r="A872" s="45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</row>
    <row r="873">
      <c r="A873" s="45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</row>
    <row r="874">
      <c r="A874" s="45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</row>
    <row r="875">
      <c r="A875" s="45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</row>
    <row r="876">
      <c r="A876" s="45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</row>
    <row r="877">
      <c r="A877" s="45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</row>
    <row r="878">
      <c r="A878" s="45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</row>
    <row r="879">
      <c r="A879" s="45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</row>
    <row r="880">
      <c r="A880" s="45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</row>
    <row r="881">
      <c r="A881" s="45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</row>
    <row r="882">
      <c r="A882" s="45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</row>
    <row r="883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</row>
    <row r="884">
      <c r="A884" s="45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</row>
    <row r="885">
      <c r="A885" s="45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</row>
    <row r="886">
      <c r="A886" s="45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</row>
    <row r="887">
      <c r="A887" s="45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</row>
    <row r="888">
      <c r="A888" s="45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</row>
    <row r="889">
      <c r="A889" s="45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</row>
    <row r="890">
      <c r="A890" s="45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</row>
    <row r="891">
      <c r="A891" s="45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</row>
    <row r="892">
      <c r="A892" s="45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</row>
    <row r="893">
      <c r="A893" s="45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</row>
    <row r="894">
      <c r="A894" s="45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</row>
    <row r="895">
      <c r="A895" s="45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</row>
    <row r="896">
      <c r="A896" s="45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</row>
    <row r="897">
      <c r="A897" s="45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</row>
    <row r="898">
      <c r="A898" s="45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</row>
    <row r="899">
      <c r="A899" s="45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</row>
    <row r="900">
      <c r="A900" s="45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</row>
    <row r="901">
      <c r="A901" s="45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</row>
    <row r="902">
      <c r="A902" s="45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</row>
    <row r="903">
      <c r="A903" s="45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</row>
    <row r="904">
      <c r="A904" s="45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</row>
    <row r="905">
      <c r="A905" s="45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</row>
    <row r="906">
      <c r="A906" s="45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</row>
    <row r="907">
      <c r="A907" s="45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</row>
    <row r="908">
      <c r="A908" s="45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</row>
    <row r="909">
      <c r="A909" s="45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</row>
    <row r="910">
      <c r="A910" s="45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</row>
    <row r="911">
      <c r="A911" s="45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</row>
    <row r="912">
      <c r="A912" s="45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</row>
    <row r="913">
      <c r="A913" s="45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</row>
    <row r="914">
      <c r="A914" s="45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</row>
    <row r="915">
      <c r="A915" s="45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</row>
    <row r="916">
      <c r="A916" s="45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</row>
    <row r="917">
      <c r="A917" s="45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</row>
    <row r="918">
      <c r="A918" s="45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</row>
    <row r="919">
      <c r="A919" s="45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</row>
    <row r="920">
      <c r="A920" s="45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</row>
    <row r="921">
      <c r="A921" s="45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</row>
    <row r="922">
      <c r="A922" s="45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</row>
    <row r="923">
      <c r="A923" s="45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</row>
    <row r="924">
      <c r="A924" s="45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</row>
    <row r="925">
      <c r="A925" s="45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</row>
    <row r="926">
      <c r="A926" s="45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</row>
    <row r="927">
      <c r="A927" s="45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</row>
    <row r="928">
      <c r="A928" s="45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</row>
    <row r="929">
      <c r="A929" s="45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</row>
    <row r="930">
      <c r="A930" s="45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</row>
    <row r="931">
      <c r="A931" s="45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</row>
    <row r="932">
      <c r="A932" s="45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</row>
    <row r="933">
      <c r="A933" s="45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</row>
    <row r="934">
      <c r="A934" s="45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</row>
    <row r="935">
      <c r="A935" s="45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</row>
    <row r="936">
      <c r="A936" s="45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</row>
    <row r="937">
      <c r="A937" s="45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</row>
    <row r="938">
      <c r="A938" s="45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</row>
    <row r="939">
      <c r="A939" s="45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</row>
    <row r="940">
      <c r="A940" s="45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</row>
    <row r="941">
      <c r="A941" s="45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</row>
    <row r="942">
      <c r="A942" s="45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</row>
    <row r="943">
      <c r="A943" s="45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</row>
    <row r="944">
      <c r="A944" s="45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</row>
    <row r="945">
      <c r="A945" s="45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</row>
    <row r="946">
      <c r="A946" s="45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</row>
    <row r="947">
      <c r="A947" s="45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</row>
    <row r="948">
      <c r="A948" s="45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</row>
    <row r="949">
      <c r="A949" s="45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</row>
    <row r="950">
      <c r="A950" s="45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</row>
    <row r="951">
      <c r="A951" s="45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</row>
    <row r="952">
      <c r="A952" s="45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</row>
    <row r="953">
      <c r="A953" s="45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</row>
    <row r="954">
      <c r="A954" s="45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</row>
    <row r="955">
      <c r="A955" s="45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</row>
    <row r="956">
      <c r="A956" s="45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</row>
    <row r="957">
      <c r="A957" s="45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</row>
    <row r="958">
      <c r="A958" s="45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</row>
    <row r="959">
      <c r="A959" s="45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</row>
    <row r="960">
      <c r="A960" s="45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</row>
    <row r="961">
      <c r="A961" s="45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</row>
    <row r="962">
      <c r="A962" s="45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</row>
    <row r="963">
      <c r="A963" s="45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</row>
    <row r="964">
      <c r="A964" s="45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</row>
    <row r="965">
      <c r="A965" s="45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</row>
    <row r="966">
      <c r="A966" s="45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</row>
    <row r="967">
      <c r="A967" s="45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</row>
    <row r="968">
      <c r="A968" s="45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</row>
    <row r="969">
      <c r="A969" s="45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</row>
    <row r="970">
      <c r="A970" s="45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</row>
    <row r="971">
      <c r="A971" s="45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</row>
    <row r="972">
      <c r="A972" s="45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</row>
    <row r="973">
      <c r="A973" s="45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</row>
    <row r="974">
      <c r="A974" s="45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</row>
    <row r="975">
      <c r="A975" s="45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</row>
    <row r="976">
      <c r="A976" s="45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</row>
    <row r="977">
      <c r="A977" s="45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</row>
    <row r="978">
      <c r="A978" s="45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</row>
    <row r="979">
      <c r="A979" s="45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</row>
    <row r="980">
      <c r="A980" s="45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</row>
    <row r="981">
      <c r="A981" s="45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</row>
    <row r="982">
      <c r="A982" s="45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</row>
    <row r="983">
      <c r="A983" s="45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</row>
    <row r="984">
      <c r="A984" s="45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</row>
    <row r="985">
      <c r="A985" s="45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</row>
    <row r="986">
      <c r="A986" s="45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</row>
    <row r="987">
      <c r="A987" s="45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</row>
    <row r="988">
      <c r="A988" s="45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</row>
    <row r="989">
      <c r="A989" s="45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</row>
    <row r="990">
      <c r="A990" s="45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</row>
    <row r="991">
      <c r="A991" s="45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</row>
    <row r="992">
      <c r="A992" s="45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</row>
    <row r="993">
      <c r="A993" s="45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</row>
    <row r="994">
      <c r="A994" s="45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</row>
    <row r="995">
      <c r="A995" s="45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</row>
    <row r="996">
      <c r="A996" s="45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</row>
    <row r="997">
      <c r="A997" s="45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</row>
    <row r="998">
      <c r="A998" s="45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</row>
    <row r="999">
      <c r="A999" s="45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</row>
    <row r="1000">
      <c r="A1000" s="45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</row>
    <row r="1001">
      <c r="A1001" s="45"/>
      <c r="B1001" s="45"/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</row>
    <row r="1002">
      <c r="A1002" s="45"/>
      <c r="B1002" s="45"/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</row>
    <row r="1003">
      <c r="A1003" s="45"/>
      <c r="B1003" s="45"/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</row>
    <row r="1004">
      <c r="A1004" s="45"/>
      <c r="B1004" s="45"/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</row>
    <row r="1005">
      <c r="A1005" s="45"/>
      <c r="B1005" s="45"/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</row>
    <row r="1006">
      <c r="A1006" s="45"/>
      <c r="B1006" s="45"/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</row>
    <row r="1007">
      <c r="A1007" s="45"/>
      <c r="B1007" s="45"/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</row>
    <row r="1008">
      <c r="A1008" s="45"/>
      <c r="B1008" s="45"/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</row>
    <row r="1009">
      <c r="A1009" s="45"/>
      <c r="B1009" s="45"/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</row>
    <row r="1010">
      <c r="A1010" s="45"/>
      <c r="B1010" s="45"/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</row>
    <row r="1011">
      <c r="A1011" s="45"/>
      <c r="B1011" s="45"/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</row>
    <row r="1012">
      <c r="A1012" s="45"/>
      <c r="B1012" s="45"/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</row>
    <row r="1013">
      <c r="A1013" s="45"/>
      <c r="B1013" s="45"/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</row>
    <row r="1014">
      <c r="A1014" s="45"/>
      <c r="B1014" s="45"/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</row>
    <row r="1015">
      <c r="A1015" s="45"/>
      <c r="B1015" s="45"/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</row>
    <row r="1016">
      <c r="A1016" s="45"/>
      <c r="B1016" s="45"/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</row>
    <row r="1017">
      <c r="A1017" s="45"/>
      <c r="B1017" s="45"/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</row>
    <row r="1018">
      <c r="A1018" s="45"/>
      <c r="B1018" s="45"/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</row>
    <row r="1019">
      <c r="A1019" s="45"/>
      <c r="B1019" s="45"/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</row>
    <row r="1020">
      <c r="A1020" s="45"/>
      <c r="B1020" s="45"/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</row>
  </sheetData>
  <dataValidations>
    <dataValidation type="custom" allowBlank="1" showDropDown="1" sqref="K2:K13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0"/>
    <col customWidth="1" min="2" max="2" width="18.13"/>
    <col customWidth="1" min="3" max="3" width="11.0"/>
    <col customWidth="1" min="4" max="4" width="12.63"/>
    <col customWidth="1" min="5" max="5" width="6.88"/>
    <col customWidth="1" min="6" max="6" width="8.13"/>
    <col customWidth="1" min="7" max="7" width="9.13"/>
    <col customWidth="1" min="8" max="8" width="10.38"/>
    <col customWidth="1" min="9" max="9" width="8.75"/>
    <col customWidth="1" min="10" max="10" width="9.5"/>
  </cols>
  <sheetData>
    <row r="1">
      <c r="A1" s="46" t="s">
        <v>101</v>
      </c>
      <c r="B1" s="46" t="s">
        <v>102</v>
      </c>
      <c r="C1" s="46" t="s">
        <v>103</v>
      </c>
      <c r="D1" s="46" t="s">
        <v>104</v>
      </c>
      <c r="E1" s="46" t="s">
        <v>105</v>
      </c>
      <c r="F1" s="46" t="s">
        <v>106</v>
      </c>
      <c r="G1" s="46" t="s">
        <v>107</v>
      </c>
      <c r="H1" s="46" t="s">
        <v>108</v>
      </c>
      <c r="I1" s="46" t="s">
        <v>109</v>
      </c>
      <c r="J1" s="46" t="s">
        <v>110</v>
      </c>
    </row>
    <row r="2">
      <c r="A2" s="47" t="s">
        <v>24</v>
      </c>
      <c r="B2" s="48" t="s">
        <v>23</v>
      </c>
      <c r="C2" s="49" t="s">
        <v>111</v>
      </c>
      <c r="D2" s="49">
        <v>40.0</v>
      </c>
      <c r="E2" s="49" t="s">
        <v>112</v>
      </c>
      <c r="F2" s="50">
        <v>9.0</v>
      </c>
      <c r="G2" s="49">
        <v>3.0</v>
      </c>
      <c r="H2" s="49">
        <v>6.0</v>
      </c>
      <c r="I2" s="49" t="s">
        <v>113</v>
      </c>
      <c r="J2" s="49" t="s">
        <v>114</v>
      </c>
    </row>
    <row r="3">
      <c r="A3" s="47" t="s">
        <v>62</v>
      </c>
      <c r="B3" s="48" t="s">
        <v>61</v>
      </c>
      <c r="C3" s="49" t="s">
        <v>115</v>
      </c>
      <c r="D3" s="49">
        <v>40.0</v>
      </c>
      <c r="E3" s="49" t="s">
        <v>116</v>
      </c>
      <c r="F3" s="50">
        <v>9.0</v>
      </c>
      <c r="G3" s="49">
        <v>3.0</v>
      </c>
      <c r="H3" s="49">
        <v>6.0</v>
      </c>
      <c r="I3" s="49" t="s">
        <v>117</v>
      </c>
      <c r="J3" s="49" t="s">
        <v>118</v>
      </c>
    </row>
    <row r="4">
      <c r="A4" s="47" t="s">
        <v>84</v>
      </c>
      <c r="B4" s="48" t="s">
        <v>83</v>
      </c>
      <c r="C4" s="49" t="s">
        <v>119</v>
      </c>
      <c r="D4" s="49">
        <v>40.0</v>
      </c>
      <c r="E4" s="49" t="s">
        <v>120</v>
      </c>
      <c r="F4" s="50">
        <v>9.0</v>
      </c>
      <c r="G4" s="49">
        <v>3.0</v>
      </c>
      <c r="H4" s="49">
        <v>6.0</v>
      </c>
      <c r="I4" s="49" t="s">
        <v>121</v>
      </c>
      <c r="J4" s="49" t="s">
        <v>122</v>
      </c>
    </row>
    <row r="5">
      <c r="A5" s="47" t="s">
        <v>69</v>
      </c>
      <c r="B5" s="48" t="s">
        <v>68</v>
      </c>
      <c r="C5" s="49" t="s">
        <v>119</v>
      </c>
      <c r="D5" s="49">
        <v>40.0</v>
      </c>
      <c r="E5" s="49" t="s">
        <v>120</v>
      </c>
      <c r="F5" s="49">
        <v>9.0</v>
      </c>
      <c r="G5" s="49">
        <v>3.0</v>
      </c>
      <c r="H5" s="49">
        <v>6.0</v>
      </c>
      <c r="I5" s="49" t="s">
        <v>121</v>
      </c>
      <c r="J5" s="49" t="s">
        <v>122</v>
      </c>
    </row>
    <row r="6">
      <c r="A6" s="47" t="s">
        <v>46</v>
      </c>
      <c r="B6" s="48" t="s">
        <v>45</v>
      </c>
      <c r="C6" s="49" t="s">
        <v>119</v>
      </c>
      <c r="D6" s="49">
        <v>40.0</v>
      </c>
      <c r="E6" s="49" t="s">
        <v>120</v>
      </c>
      <c r="F6" s="49">
        <v>9.0</v>
      </c>
      <c r="G6" s="49">
        <v>3.0</v>
      </c>
      <c r="H6" s="49">
        <v>6.0</v>
      </c>
      <c r="I6" s="49" t="s">
        <v>121</v>
      </c>
      <c r="J6" s="49" t="s">
        <v>122</v>
      </c>
    </row>
    <row r="7">
      <c r="A7" s="47" t="s">
        <v>123</v>
      </c>
      <c r="B7" s="48" t="s">
        <v>88</v>
      </c>
      <c r="C7" s="49" t="s">
        <v>119</v>
      </c>
      <c r="D7" s="49">
        <v>40.0</v>
      </c>
      <c r="E7" s="49" t="s">
        <v>120</v>
      </c>
      <c r="F7" s="50">
        <v>9.0</v>
      </c>
      <c r="G7" s="49">
        <v>3.0</v>
      </c>
      <c r="H7" s="49">
        <v>6.0</v>
      </c>
      <c r="I7" s="49" t="s">
        <v>121</v>
      </c>
      <c r="J7" s="49" t="s">
        <v>122</v>
      </c>
    </row>
    <row r="8">
      <c r="A8" s="47" t="s">
        <v>49</v>
      </c>
      <c r="B8" s="48" t="s">
        <v>48</v>
      </c>
      <c r="C8" s="49" t="s">
        <v>124</v>
      </c>
      <c r="D8" s="49">
        <v>40.0</v>
      </c>
      <c r="E8" s="49" t="s">
        <v>125</v>
      </c>
      <c r="F8" s="50">
        <v>9.0</v>
      </c>
      <c r="G8" s="49">
        <v>3.0</v>
      </c>
      <c r="H8" s="49">
        <v>6.0</v>
      </c>
      <c r="I8" s="49" t="s">
        <v>126</v>
      </c>
      <c r="J8" s="49" t="s">
        <v>111</v>
      </c>
    </row>
    <row r="9">
      <c r="A9" s="47" t="s">
        <v>52</v>
      </c>
      <c r="B9" s="48" t="s">
        <v>76</v>
      </c>
      <c r="C9" s="49" t="s">
        <v>127</v>
      </c>
      <c r="D9" s="49">
        <v>40.0</v>
      </c>
      <c r="E9" s="49" t="s">
        <v>128</v>
      </c>
      <c r="F9" s="49">
        <v>8.0</v>
      </c>
      <c r="G9" s="49">
        <v>0.0</v>
      </c>
      <c r="H9" s="49">
        <v>8.0</v>
      </c>
      <c r="I9" s="49" t="s">
        <v>129</v>
      </c>
      <c r="J9" s="49" t="s">
        <v>130</v>
      </c>
    </row>
    <row r="10">
      <c r="A10" s="47" t="s">
        <v>52</v>
      </c>
      <c r="B10" s="48" t="s">
        <v>51</v>
      </c>
      <c r="C10" s="49" t="s">
        <v>124</v>
      </c>
      <c r="D10" s="49">
        <v>40.0</v>
      </c>
      <c r="E10" s="49" t="s">
        <v>125</v>
      </c>
      <c r="F10" s="50">
        <v>9.0</v>
      </c>
      <c r="G10" s="49">
        <v>2.0</v>
      </c>
      <c r="H10" s="49">
        <v>7.0</v>
      </c>
      <c r="I10" s="49" t="s">
        <v>131</v>
      </c>
      <c r="J10" s="49" t="s">
        <v>132</v>
      </c>
    </row>
    <row r="11">
      <c r="A11" s="47" t="s">
        <v>55</v>
      </c>
      <c r="B11" s="48" t="s">
        <v>54</v>
      </c>
      <c r="C11" s="49" t="s">
        <v>124</v>
      </c>
      <c r="D11" s="49">
        <v>40.0</v>
      </c>
      <c r="E11" s="49" t="s">
        <v>125</v>
      </c>
      <c r="F11" s="50">
        <v>9.0</v>
      </c>
      <c r="G11" s="49">
        <v>5.0</v>
      </c>
      <c r="H11" s="49">
        <v>4.0</v>
      </c>
      <c r="I11" s="49" t="s">
        <v>133</v>
      </c>
      <c r="J11" s="49" t="s">
        <v>134</v>
      </c>
    </row>
    <row r="12">
      <c r="A12" s="47" t="s">
        <v>55</v>
      </c>
      <c r="B12" s="48" t="s">
        <v>79</v>
      </c>
      <c r="C12" s="49" t="s">
        <v>124</v>
      </c>
      <c r="D12" s="49">
        <v>40.0</v>
      </c>
      <c r="E12" s="49" t="s">
        <v>125</v>
      </c>
      <c r="F12" s="49">
        <v>9.0</v>
      </c>
      <c r="G12" s="49">
        <v>5.0</v>
      </c>
      <c r="H12" s="49">
        <v>4.0</v>
      </c>
      <c r="I12" s="49" t="s">
        <v>133</v>
      </c>
      <c r="J12" s="49" t="s">
        <v>134</v>
      </c>
    </row>
    <row r="13">
      <c r="A13" s="47" t="s">
        <v>58</v>
      </c>
      <c r="B13" s="48" t="s">
        <v>57</v>
      </c>
      <c r="C13" s="49" t="s">
        <v>124</v>
      </c>
      <c r="D13" s="49">
        <v>40.0</v>
      </c>
      <c r="E13" s="49" t="s">
        <v>125</v>
      </c>
      <c r="F13" s="49">
        <v>9.0</v>
      </c>
      <c r="G13" s="49">
        <v>1.0</v>
      </c>
      <c r="H13" s="49">
        <v>8.0</v>
      </c>
      <c r="I13" s="49" t="s">
        <v>124</v>
      </c>
      <c r="J13" s="49" t="s">
        <v>135</v>
      </c>
    </row>
    <row r="14">
      <c r="A14" s="51" t="s">
        <v>136</v>
      </c>
      <c r="B14" s="51"/>
      <c r="C14" s="51" t="s">
        <v>137</v>
      </c>
      <c r="D14" s="52"/>
      <c r="E14" s="52"/>
      <c r="F14" s="52"/>
      <c r="G14" s="52"/>
      <c r="H14" s="52"/>
      <c r="I14" s="53" t="s">
        <v>138</v>
      </c>
      <c r="J14" s="53" t="s">
        <v>139</v>
      </c>
    </row>
  </sheetData>
  <drawing r:id="rId1"/>
</worksheet>
</file>