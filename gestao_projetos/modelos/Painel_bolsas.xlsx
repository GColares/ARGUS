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lsas_Geral" sheetId="1" r:id="rId5"/>
  </sheets>
  <definedNames/>
  <calcPr/>
</workbook>
</file>

<file path=xl/sharedStrings.xml><?xml version="1.0" encoding="utf-8"?>
<sst xmlns="http://schemas.openxmlformats.org/spreadsheetml/2006/main" count="204" uniqueCount="91">
  <si>
    <t>#</t>
  </si>
  <si>
    <t>Termo de Bolsa</t>
  </si>
  <si>
    <t>Processo</t>
  </si>
  <si>
    <t>Bolsista</t>
  </si>
  <si>
    <t>Função</t>
  </si>
  <si>
    <t>RH</t>
  </si>
  <si>
    <t>Início</t>
  </si>
  <si>
    <t>Encerramento</t>
  </si>
  <si>
    <t>Carga Horária</t>
  </si>
  <si>
    <t>Parcelas</t>
  </si>
  <si>
    <t>Parcela</t>
  </si>
  <si>
    <t>Total</t>
  </si>
  <si>
    <t>Intertício R01</t>
  </si>
  <si>
    <t>Intertício R02</t>
  </si>
  <si>
    <t>Intertício R03</t>
  </si>
  <si>
    <t>Intertício R04</t>
  </si>
  <si>
    <t>Intertício R05</t>
  </si>
  <si>
    <t>Intertício R06</t>
  </si>
  <si>
    <t>Intertício R07</t>
  </si>
  <si>
    <t>Intertício R08</t>
  </si>
  <si>
    <t>Intertício R09</t>
  </si>
  <si>
    <t>1446/2026</t>
  </si>
  <si>
    <t>0298/2026</t>
  </si>
  <si>
    <t>Wenndisson da Silva Souza</t>
  </si>
  <si>
    <t>Coordenador</t>
  </si>
  <si>
    <t>Direto</t>
  </si>
  <si>
    <t>01/06/26 a 31/06/26</t>
  </si>
  <si>
    <t>01/07/26 a 31/07/26</t>
  </si>
  <si>
    <t>03/08/26 a 31/08/26</t>
  </si>
  <si>
    <t>01/09/26 a 30/09/26</t>
  </si>
  <si>
    <t>01/10/26 a 30/10/26</t>
  </si>
  <si>
    <t>02/11/26 a 30/11/26</t>
  </si>
  <si>
    <t>01/12/26 a 31/12/26</t>
  </si>
  <si>
    <t>04/01/27 a 29/01/27</t>
  </si>
  <si>
    <t>01/02/27 a 26/02/27</t>
  </si>
  <si>
    <t>1459/2026</t>
  </si>
  <si>
    <t>0306/2026</t>
  </si>
  <si>
    <t>Geziel Sena Colares</t>
  </si>
  <si>
    <t>Aux-Adm</t>
  </si>
  <si>
    <t>Indireto</t>
  </si>
  <si>
    <t>25/06/26 a 14/07/26</t>
  </si>
  <si>
    <t>15/07/26 a 31/07/26</t>
  </si>
  <si>
    <t>N/A</t>
  </si>
  <si>
    <t>1471/2026</t>
  </si>
  <si>
    <t>0314/2026</t>
  </si>
  <si>
    <t>Gabriel Silveira Alencar</t>
  </si>
  <si>
    <t>Analista de Teste</t>
  </si>
  <si>
    <t>1472/2026</t>
  </si>
  <si>
    <t>Nobuyuki Andrade Ashibe</t>
  </si>
  <si>
    <t>Aluno Graduação - (AI)</t>
  </si>
  <si>
    <t>1473/2026</t>
  </si>
  <si>
    <t>Jose Mario Castro de Amaral</t>
  </si>
  <si>
    <t>Aluno Graduação - (Frontend)</t>
  </si>
  <si>
    <t>1474/2026</t>
  </si>
  <si>
    <t>Bruno Cesar de Souza Falcao</t>
  </si>
  <si>
    <t>Aluno Graduação - (Backend)</t>
  </si>
  <si>
    <t>1475/2026</t>
  </si>
  <si>
    <t>Gabriel Nogueira de Lima</t>
  </si>
  <si>
    <t>Aluno Graduação - (QA)</t>
  </si>
  <si>
    <t>1529/2026</t>
  </si>
  <si>
    <t>0341/2026</t>
  </si>
  <si>
    <t>Eduardo Palhares Júnior</t>
  </si>
  <si>
    <t>Cientista de Dados</t>
  </si>
  <si>
    <t>13/07/26 a 31/07/26</t>
  </si>
  <si>
    <t>01/08/26 a 15/08/26</t>
  </si>
  <si>
    <t>16/08/26 a 31/08/26</t>
  </si>
  <si>
    <t>1545/2026</t>
  </si>
  <si>
    <t>0356/2026</t>
  </si>
  <si>
    <t>Liane de Oliveira Calais Sobreira</t>
  </si>
  <si>
    <t>Analista Integrador</t>
  </si>
  <si>
    <t>20/07/26 a 05/08/26</t>
  </si>
  <si>
    <t>06/08/26 a 31/08/26</t>
  </si>
  <si>
    <t>01/09/26 a 15/09/26</t>
  </si>
  <si>
    <t>16/09/26 a 30/09/26</t>
  </si>
  <si>
    <t>1554/2026</t>
  </si>
  <si>
    <t>0361/2026</t>
  </si>
  <si>
    <t>Cairo José Nascimento Carneiro</t>
  </si>
  <si>
    <t>Aluno Graduação (Frontend)</t>
  </si>
  <si>
    <t>1555/2026</t>
  </si>
  <si>
    <t>Rafael Freire Couto da Silva</t>
  </si>
  <si>
    <t>Aluno Graduação (Backend)</t>
  </si>
  <si>
    <t>1569/2026</t>
  </si>
  <si>
    <t>0371/2026</t>
  </si>
  <si>
    <t>Gabriel Clavila Soares</t>
  </si>
  <si>
    <t>Engenheiro de Software</t>
  </si>
  <si>
    <t>27/07/26 a 12/08/26</t>
  </si>
  <si>
    <t>13/08/26 a 31/08/26</t>
  </si>
  <si>
    <t>1570/2026</t>
  </si>
  <si>
    <t>Sandro Haiden Teixeira</t>
  </si>
  <si>
    <t>Desenvolvedor Full Stack</t>
  </si>
  <si>
    <t>Total_Geral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</si>
</sst>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[$R$ -416]#,##0.00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4"/>
      <name val="Arial"/>
    </font>
    <font>
      <b/>
      <color theme="4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DD9D4"/>
          <bgColor rgb="FFCD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5" pivot="0" name="Bolsas_Geral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totalsRowCount="1" ref="A1:U15" displayName="Bolsas_Geral" name="Bolsas_Geral" id="1">
  <tableColumns count="21">
    <tableColumn name="#" id="1"/>
    <tableColumn name="Termo de Bolsa" id="2"/>
    <tableColumn name="Processo" id="3"/>
    <tableColumn name="Bolsista" id="4"/>
    <tableColumn name="Função" id="5"/>
    <tableColumn name="RH" id="6"/>
    <tableColumn name="Início" id="7"/>
    <tableColumn name="Encerramento" id="8"/>
    <tableColumn name="Carga Horária" id="9"/>
    <tableColumn totalsRowLabel="Total_Geral" name="Parcelas" id="10"/>
    <tableColumn totalsRowFunction="custom" name="Parcela" id="11"/>
    <tableColumn totalsRowFunction="custom" name="Total" id="12"/>
    <tableColumn name="Intertício R01" id="13"/>
    <tableColumn name="Intertício R02" id="14"/>
    <tableColumn name="Intertício R03" id="15"/>
    <tableColumn name="Intertício R04" id="16"/>
    <tableColumn name="Intertício R05" id="17"/>
    <tableColumn name="Intertício R06" id="18"/>
    <tableColumn name="Intertício R07" id="19"/>
    <tableColumn name="Intertício R08" id="20"/>
    <tableColumn name="Intertício R09" id="21"/>
  </tableColumns>
  <tableStyleInfo name="Bolsas_G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6.5"/>
    <col customWidth="1" min="2" max="2" width="17.13"/>
    <col customWidth="1" min="3" max="3" width="12.5"/>
    <col customWidth="1" min="4" max="4" width="26.25"/>
    <col customWidth="1" min="5" max="5" width="24.0"/>
    <col customWidth="1" min="6" max="6" width="7.88"/>
    <col customWidth="1" min="7" max="7" width="11.13"/>
    <col customWidth="1" min="8" max="8" width="15.88"/>
    <col customWidth="1" min="9" max="9" width="15.75"/>
    <col customWidth="1" min="10" max="10" width="11.88"/>
    <col customWidth="1" hidden="1" min="11" max="11" width="14.38"/>
    <col customWidth="1" hidden="1" min="12" max="12" width="12.88"/>
    <col customWidth="1" min="13" max="17" width="17.0"/>
    <col customWidth="1" min="18" max="18" width="16.75"/>
    <col customWidth="1" min="19" max="21" width="17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 ht="22.5" customHeight="1">
      <c r="A2" s="1">
        <v>1.0</v>
      </c>
      <c r="B2" s="1" t="s">
        <v>21</v>
      </c>
      <c r="C2" s="1" t="s">
        <v>22</v>
      </c>
      <c r="D2" s="5" t="s">
        <v>23</v>
      </c>
      <c r="E2" s="5" t="s">
        <v>24</v>
      </c>
      <c r="F2" s="1" t="s">
        <v>25</v>
      </c>
      <c r="G2" s="6">
        <v>46174.0</v>
      </c>
      <c r="H2" s="6">
        <v>46446.0</v>
      </c>
      <c r="I2" s="1">
        <v>360.0</v>
      </c>
      <c r="J2" s="1">
        <v>9.0</v>
      </c>
      <c r="K2" s="7">
        <v>12000.0</v>
      </c>
      <c r="L2" s="8">
        <f t="shared" ref="L2:L14" si="1">J2*K2</f>
        <v>108000</v>
      </c>
      <c r="M2" s="9" t="s">
        <v>26</v>
      </c>
      <c r="N2" s="9" t="s">
        <v>27</v>
      </c>
      <c r="O2" s="9" t="s">
        <v>28</v>
      </c>
      <c r="P2" s="9" t="s">
        <v>29</v>
      </c>
      <c r="Q2" s="9" t="s">
        <v>30</v>
      </c>
      <c r="R2" s="9" t="s">
        <v>31</v>
      </c>
      <c r="S2" s="9" t="s">
        <v>32</v>
      </c>
      <c r="T2" s="9" t="s">
        <v>33</v>
      </c>
      <c r="U2" s="9" t="s">
        <v>34</v>
      </c>
    </row>
    <row r="3" ht="22.5" customHeight="1">
      <c r="A3" s="1">
        <v>2.0</v>
      </c>
      <c r="B3" s="1" t="s">
        <v>35</v>
      </c>
      <c r="C3" s="1" t="s">
        <v>36</v>
      </c>
      <c r="D3" s="5" t="s">
        <v>37</v>
      </c>
      <c r="E3" s="5" t="s">
        <v>38</v>
      </c>
      <c r="F3" s="1" t="s">
        <v>39</v>
      </c>
      <c r="G3" s="6">
        <v>46198.0</v>
      </c>
      <c r="H3" s="6">
        <v>46446.0</v>
      </c>
      <c r="I3" s="1">
        <v>160.0</v>
      </c>
      <c r="J3" s="1">
        <v>8.0</v>
      </c>
      <c r="K3" s="7">
        <v>2800.0</v>
      </c>
      <c r="L3" s="8">
        <f t="shared" si="1"/>
        <v>22400</v>
      </c>
      <c r="M3" s="9" t="s">
        <v>40</v>
      </c>
      <c r="N3" s="9" t="s">
        <v>41</v>
      </c>
      <c r="O3" s="9" t="s">
        <v>28</v>
      </c>
      <c r="P3" s="9" t="s">
        <v>29</v>
      </c>
      <c r="Q3" s="9" t="s">
        <v>30</v>
      </c>
      <c r="R3" s="9" t="s">
        <v>31</v>
      </c>
      <c r="S3" s="9" t="s">
        <v>32</v>
      </c>
      <c r="T3" s="9" t="s">
        <v>33</v>
      </c>
      <c r="U3" s="10" t="s">
        <v>42</v>
      </c>
    </row>
    <row r="4" ht="22.5" customHeight="1">
      <c r="A4" s="1">
        <v>3.0</v>
      </c>
      <c r="B4" s="1" t="s">
        <v>43</v>
      </c>
      <c r="C4" s="1" t="s">
        <v>44</v>
      </c>
      <c r="D4" s="11" t="s">
        <v>45</v>
      </c>
      <c r="E4" s="5" t="s">
        <v>46</v>
      </c>
      <c r="F4" s="1" t="s">
        <v>25</v>
      </c>
      <c r="G4" s="6">
        <v>46198.0</v>
      </c>
      <c r="H4" s="6">
        <v>46446.0</v>
      </c>
      <c r="I4" s="1">
        <v>360.0</v>
      </c>
      <c r="J4" s="1">
        <v>9.0</v>
      </c>
      <c r="K4" s="7">
        <v>5000.0</v>
      </c>
      <c r="L4" s="8">
        <f t="shared" si="1"/>
        <v>45000</v>
      </c>
      <c r="M4" s="9" t="s">
        <v>40</v>
      </c>
      <c r="N4" s="9" t="s">
        <v>41</v>
      </c>
      <c r="O4" s="9" t="s">
        <v>28</v>
      </c>
      <c r="P4" s="9" t="s">
        <v>29</v>
      </c>
      <c r="Q4" s="9" t="s">
        <v>30</v>
      </c>
      <c r="R4" s="9" t="s">
        <v>31</v>
      </c>
      <c r="S4" s="9" t="s">
        <v>32</v>
      </c>
      <c r="T4" s="9" t="s">
        <v>33</v>
      </c>
      <c r="U4" s="9" t="s">
        <v>34</v>
      </c>
    </row>
    <row r="5" ht="22.5" customHeight="1">
      <c r="A5" s="1">
        <v>4.0</v>
      </c>
      <c r="B5" s="1" t="s">
        <v>47</v>
      </c>
      <c r="C5" s="1" t="s">
        <v>44</v>
      </c>
      <c r="D5" s="11" t="s">
        <v>48</v>
      </c>
      <c r="E5" s="5" t="s">
        <v>49</v>
      </c>
      <c r="F5" s="1" t="s">
        <v>25</v>
      </c>
      <c r="G5" s="6">
        <v>46198.0</v>
      </c>
      <c r="H5" s="6">
        <v>46446.0</v>
      </c>
      <c r="I5" s="1">
        <v>360.0</v>
      </c>
      <c r="J5" s="1">
        <v>9.0</v>
      </c>
      <c r="K5" s="7">
        <v>2000.0</v>
      </c>
      <c r="L5" s="8">
        <f t="shared" si="1"/>
        <v>18000</v>
      </c>
      <c r="M5" s="9" t="s">
        <v>40</v>
      </c>
      <c r="N5" s="9" t="s">
        <v>41</v>
      </c>
      <c r="O5" s="9" t="s">
        <v>28</v>
      </c>
      <c r="P5" s="9" t="s">
        <v>29</v>
      </c>
      <c r="Q5" s="9" t="s">
        <v>30</v>
      </c>
      <c r="R5" s="9" t="s">
        <v>31</v>
      </c>
      <c r="S5" s="9" t="s">
        <v>32</v>
      </c>
      <c r="T5" s="9" t="s">
        <v>33</v>
      </c>
      <c r="U5" s="9" t="s">
        <v>34</v>
      </c>
    </row>
    <row r="6" ht="22.5" customHeight="1">
      <c r="A6" s="1">
        <v>5.0</v>
      </c>
      <c r="B6" s="1" t="s">
        <v>50</v>
      </c>
      <c r="C6" s="1" t="s">
        <v>44</v>
      </c>
      <c r="D6" s="11" t="s">
        <v>51</v>
      </c>
      <c r="E6" s="5" t="s">
        <v>52</v>
      </c>
      <c r="F6" s="1" t="s">
        <v>25</v>
      </c>
      <c r="G6" s="6">
        <v>46198.0</v>
      </c>
      <c r="H6" s="6">
        <v>46446.0</v>
      </c>
      <c r="I6" s="1">
        <v>360.0</v>
      </c>
      <c r="J6" s="1">
        <v>9.0</v>
      </c>
      <c r="K6" s="7">
        <v>2000.0</v>
      </c>
      <c r="L6" s="8">
        <f t="shared" si="1"/>
        <v>18000</v>
      </c>
      <c r="M6" s="9" t="s">
        <v>40</v>
      </c>
      <c r="N6" s="9" t="s">
        <v>41</v>
      </c>
      <c r="O6" s="9" t="s">
        <v>28</v>
      </c>
      <c r="P6" s="9" t="s">
        <v>29</v>
      </c>
      <c r="Q6" s="9" t="s">
        <v>30</v>
      </c>
      <c r="R6" s="9" t="s">
        <v>31</v>
      </c>
      <c r="S6" s="9" t="s">
        <v>32</v>
      </c>
      <c r="T6" s="9" t="s">
        <v>33</v>
      </c>
      <c r="U6" s="9" t="s">
        <v>34</v>
      </c>
    </row>
    <row r="7" ht="22.5" customHeight="1">
      <c r="A7" s="1">
        <v>6.0</v>
      </c>
      <c r="B7" s="1" t="s">
        <v>53</v>
      </c>
      <c r="C7" s="1" t="s">
        <v>44</v>
      </c>
      <c r="D7" s="11" t="s">
        <v>54</v>
      </c>
      <c r="E7" s="5" t="s">
        <v>55</v>
      </c>
      <c r="F7" s="1" t="s">
        <v>25</v>
      </c>
      <c r="G7" s="6">
        <v>46198.0</v>
      </c>
      <c r="H7" s="6">
        <v>46446.0</v>
      </c>
      <c r="I7" s="1">
        <v>360.0</v>
      </c>
      <c r="J7" s="1">
        <v>9.0</v>
      </c>
      <c r="K7" s="7">
        <v>2000.0</v>
      </c>
      <c r="L7" s="8">
        <f t="shared" si="1"/>
        <v>18000</v>
      </c>
      <c r="M7" s="9" t="s">
        <v>40</v>
      </c>
      <c r="N7" s="9" t="s">
        <v>41</v>
      </c>
      <c r="O7" s="9" t="s">
        <v>28</v>
      </c>
      <c r="P7" s="9" t="s">
        <v>29</v>
      </c>
      <c r="Q7" s="9" t="s">
        <v>30</v>
      </c>
      <c r="R7" s="9" t="s">
        <v>31</v>
      </c>
      <c r="S7" s="9" t="s">
        <v>32</v>
      </c>
      <c r="T7" s="9" t="s">
        <v>33</v>
      </c>
      <c r="U7" s="9" t="s">
        <v>34</v>
      </c>
    </row>
    <row r="8" ht="22.5" customHeight="1">
      <c r="A8" s="1">
        <v>7.0</v>
      </c>
      <c r="B8" s="1" t="s">
        <v>56</v>
      </c>
      <c r="C8" s="1" t="s">
        <v>44</v>
      </c>
      <c r="D8" s="11" t="s">
        <v>57</v>
      </c>
      <c r="E8" s="5" t="s">
        <v>58</v>
      </c>
      <c r="F8" s="1" t="s">
        <v>25</v>
      </c>
      <c r="G8" s="6">
        <v>46198.0</v>
      </c>
      <c r="H8" s="6">
        <v>46446.0</v>
      </c>
      <c r="I8" s="1">
        <v>360.0</v>
      </c>
      <c r="J8" s="1">
        <v>9.0</v>
      </c>
      <c r="K8" s="7">
        <v>2000.0</v>
      </c>
      <c r="L8" s="8">
        <f t="shared" si="1"/>
        <v>18000</v>
      </c>
      <c r="M8" s="9" t="s">
        <v>40</v>
      </c>
      <c r="N8" s="9" t="s">
        <v>41</v>
      </c>
      <c r="O8" s="9" t="s">
        <v>28</v>
      </c>
      <c r="P8" s="9" t="s">
        <v>29</v>
      </c>
      <c r="Q8" s="9" t="s">
        <v>30</v>
      </c>
      <c r="R8" s="9" t="s">
        <v>31</v>
      </c>
      <c r="S8" s="9" t="s">
        <v>32</v>
      </c>
      <c r="T8" s="9" t="s">
        <v>33</v>
      </c>
      <c r="U8" s="9" t="s">
        <v>34</v>
      </c>
    </row>
    <row r="9" ht="22.5" customHeight="1">
      <c r="A9" s="1">
        <v>8.0</v>
      </c>
      <c r="B9" s="1" t="s">
        <v>59</v>
      </c>
      <c r="C9" s="1" t="s">
        <v>60</v>
      </c>
      <c r="D9" s="11" t="s">
        <v>61</v>
      </c>
      <c r="E9" s="5" t="s">
        <v>62</v>
      </c>
      <c r="F9" s="1" t="s">
        <v>25</v>
      </c>
      <c r="G9" s="6">
        <v>46216.0</v>
      </c>
      <c r="H9" s="6">
        <v>46446.0</v>
      </c>
      <c r="I9" s="1">
        <v>360.0</v>
      </c>
      <c r="J9" s="1">
        <v>9.0</v>
      </c>
      <c r="K9" s="7">
        <v>7000.0</v>
      </c>
      <c r="L9" s="8">
        <f t="shared" si="1"/>
        <v>63000</v>
      </c>
      <c r="M9" s="9" t="s">
        <v>63</v>
      </c>
      <c r="N9" s="9" t="s">
        <v>64</v>
      </c>
      <c r="O9" s="9" t="s">
        <v>65</v>
      </c>
      <c r="P9" s="9" t="s">
        <v>29</v>
      </c>
      <c r="Q9" s="9" t="s">
        <v>30</v>
      </c>
      <c r="R9" s="9" t="s">
        <v>31</v>
      </c>
      <c r="S9" s="9" t="s">
        <v>32</v>
      </c>
      <c r="T9" s="9" t="s">
        <v>33</v>
      </c>
      <c r="U9" s="9" t="s">
        <v>34</v>
      </c>
    </row>
    <row r="10" ht="22.5" customHeight="1">
      <c r="A10" s="1">
        <v>9.0</v>
      </c>
      <c r="B10" s="1" t="s">
        <v>66</v>
      </c>
      <c r="C10" s="1" t="s">
        <v>67</v>
      </c>
      <c r="D10" s="11" t="s">
        <v>68</v>
      </c>
      <c r="E10" s="5" t="s">
        <v>69</v>
      </c>
      <c r="F10" s="1" t="s">
        <v>25</v>
      </c>
      <c r="G10" s="6">
        <v>46223.0</v>
      </c>
      <c r="H10" s="6">
        <v>46446.0</v>
      </c>
      <c r="I10" s="1">
        <v>360.0</v>
      </c>
      <c r="J10" s="1">
        <v>9.0</v>
      </c>
      <c r="K10" s="7">
        <v>5000.0</v>
      </c>
      <c r="L10" s="8">
        <f t="shared" si="1"/>
        <v>45000</v>
      </c>
      <c r="M10" s="9" t="s">
        <v>70</v>
      </c>
      <c r="N10" s="9" t="s">
        <v>71</v>
      </c>
      <c r="O10" s="9" t="s">
        <v>72</v>
      </c>
      <c r="P10" s="9" t="s">
        <v>73</v>
      </c>
      <c r="Q10" s="9" t="s">
        <v>30</v>
      </c>
      <c r="R10" s="9" t="s">
        <v>31</v>
      </c>
      <c r="S10" s="9" t="s">
        <v>32</v>
      </c>
      <c r="T10" s="9" t="s">
        <v>33</v>
      </c>
      <c r="U10" s="9" t="s">
        <v>34</v>
      </c>
    </row>
    <row r="11" ht="22.5" customHeight="1">
      <c r="A11" s="1">
        <v>10.0</v>
      </c>
      <c r="B11" s="1" t="s">
        <v>74</v>
      </c>
      <c r="C11" s="1" t="s">
        <v>75</v>
      </c>
      <c r="D11" s="11" t="s">
        <v>76</v>
      </c>
      <c r="E11" s="5" t="s">
        <v>77</v>
      </c>
      <c r="F11" s="1" t="s">
        <v>25</v>
      </c>
      <c r="G11" s="6">
        <v>46223.0</v>
      </c>
      <c r="H11" s="6">
        <v>46446.0</v>
      </c>
      <c r="I11" s="1">
        <v>320.0</v>
      </c>
      <c r="J11" s="1">
        <v>8.0</v>
      </c>
      <c r="K11" s="7">
        <v>2125.0</v>
      </c>
      <c r="L11" s="8">
        <f t="shared" si="1"/>
        <v>17000</v>
      </c>
      <c r="M11" s="9" t="s">
        <v>70</v>
      </c>
      <c r="N11" s="9" t="s">
        <v>71</v>
      </c>
      <c r="O11" s="9" t="s">
        <v>29</v>
      </c>
      <c r="P11" s="9" t="s">
        <v>30</v>
      </c>
      <c r="Q11" s="9" t="s">
        <v>30</v>
      </c>
      <c r="R11" s="9" t="s">
        <v>31</v>
      </c>
      <c r="S11" s="9" t="s">
        <v>32</v>
      </c>
      <c r="T11" s="9" t="s">
        <v>33</v>
      </c>
      <c r="U11" s="10" t="s">
        <v>42</v>
      </c>
    </row>
    <row r="12" ht="22.5" customHeight="1">
      <c r="A12" s="1">
        <v>11.0</v>
      </c>
      <c r="B12" s="1" t="s">
        <v>78</v>
      </c>
      <c r="C12" s="1" t="s">
        <v>75</v>
      </c>
      <c r="D12" s="11" t="s">
        <v>79</v>
      </c>
      <c r="E12" s="5" t="s">
        <v>80</v>
      </c>
      <c r="F12" s="1" t="s">
        <v>25</v>
      </c>
      <c r="G12" s="6">
        <v>46223.0</v>
      </c>
      <c r="H12" s="6">
        <v>46446.0</v>
      </c>
      <c r="I12" s="1">
        <v>360.0</v>
      </c>
      <c r="J12" s="1">
        <v>9.0</v>
      </c>
      <c r="K12" s="7">
        <v>2000.0</v>
      </c>
      <c r="L12" s="8">
        <f t="shared" si="1"/>
        <v>18000</v>
      </c>
      <c r="M12" s="9" t="s">
        <v>70</v>
      </c>
      <c r="N12" s="9" t="s">
        <v>71</v>
      </c>
      <c r="O12" s="9" t="s">
        <v>72</v>
      </c>
      <c r="P12" s="9" t="s">
        <v>73</v>
      </c>
      <c r="Q12" s="9" t="s">
        <v>30</v>
      </c>
      <c r="R12" s="9" t="s">
        <v>31</v>
      </c>
      <c r="S12" s="9" t="s">
        <v>32</v>
      </c>
      <c r="T12" s="9" t="s">
        <v>33</v>
      </c>
      <c r="U12" s="9" t="s">
        <v>34</v>
      </c>
    </row>
    <row r="13" ht="22.5" customHeight="1">
      <c r="A13" s="1">
        <v>12.0</v>
      </c>
      <c r="B13" s="1" t="s">
        <v>81</v>
      </c>
      <c r="C13" s="1" t="s">
        <v>82</v>
      </c>
      <c r="D13" s="11" t="s">
        <v>83</v>
      </c>
      <c r="E13" s="5" t="s">
        <v>84</v>
      </c>
      <c r="F13" s="1" t="s">
        <v>25</v>
      </c>
      <c r="G13" s="6">
        <v>46230.0</v>
      </c>
      <c r="H13" s="6">
        <v>46446.0</v>
      </c>
      <c r="I13" s="1">
        <v>360.0</v>
      </c>
      <c r="J13" s="1">
        <v>9.0</v>
      </c>
      <c r="K13" s="7">
        <v>5000.0</v>
      </c>
      <c r="L13" s="8">
        <f t="shared" si="1"/>
        <v>45000</v>
      </c>
      <c r="M13" s="9" t="s">
        <v>85</v>
      </c>
      <c r="N13" s="9" t="s">
        <v>86</v>
      </c>
      <c r="O13" s="9" t="s">
        <v>72</v>
      </c>
      <c r="P13" s="9" t="s">
        <v>73</v>
      </c>
      <c r="Q13" s="9" t="s">
        <v>30</v>
      </c>
      <c r="R13" s="9" t="s">
        <v>31</v>
      </c>
      <c r="S13" s="9" t="s">
        <v>32</v>
      </c>
      <c r="T13" s="9" t="s">
        <v>33</v>
      </c>
      <c r="U13" s="9" t="s">
        <v>34</v>
      </c>
    </row>
    <row r="14" ht="22.5" customHeight="1">
      <c r="A14" s="1">
        <v>13.0</v>
      </c>
      <c r="B14" s="1" t="s">
        <v>87</v>
      </c>
      <c r="C14" s="1" t="s">
        <v>82</v>
      </c>
      <c r="D14" s="11" t="s">
        <v>88</v>
      </c>
      <c r="E14" s="11" t="s">
        <v>89</v>
      </c>
      <c r="F14" s="1" t="s">
        <v>25</v>
      </c>
      <c r="G14" s="6">
        <v>46230.0</v>
      </c>
      <c r="H14" s="6">
        <v>46446.0</v>
      </c>
      <c r="I14" s="1">
        <v>360.0</v>
      </c>
      <c r="J14" s="1">
        <v>9.0</v>
      </c>
      <c r="K14" s="7">
        <v>5000.0</v>
      </c>
      <c r="L14" s="8">
        <f t="shared" si="1"/>
        <v>45000</v>
      </c>
      <c r="M14" s="9" t="s">
        <v>85</v>
      </c>
      <c r="N14" s="9" t="s">
        <v>86</v>
      </c>
      <c r="O14" s="9" t="s">
        <v>72</v>
      </c>
      <c r="P14" s="9" t="s">
        <v>73</v>
      </c>
      <c r="Q14" s="9" t="s">
        <v>30</v>
      </c>
      <c r="R14" s="9" t="s">
        <v>31</v>
      </c>
      <c r="S14" s="9" t="s">
        <v>32</v>
      </c>
      <c r="T14" s="9" t="s">
        <v>33</v>
      </c>
      <c r="U14" s="9" t="s">
        <v>34</v>
      </c>
    </row>
    <row r="15" ht="22.5" customHeight="1">
      <c r="A15" s="1"/>
      <c r="B15" s="12"/>
      <c r="C15" s="12"/>
      <c r="D15" s="13"/>
      <c r="E15" s="14"/>
      <c r="F15" s="12"/>
      <c r="G15" s="12"/>
      <c r="H15" s="12"/>
      <c r="I15" s="12"/>
      <c r="J15" s="15" t="s">
        <v>90</v>
      </c>
      <c r="K15" s="16">
        <f>SUM(Bolsas_Geral[Parcela])</f>
        <v>53925</v>
      </c>
      <c r="L15" s="16">
        <f>SUM(Bolsas_Geral[Total])</f>
        <v>480400</v>
      </c>
      <c r="M15" s="17"/>
      <c r="N15" s="17"/>
      <c r="O15" s="17"/>
      <c r="P15" s="17"/>
      <c r="Q15" s="17"/>
      <c r="R15" s="17"/>
      <c r="S15" s="17"/>
      <c r="T15" s="17"/>
      <c r="U15" s="17"/>
    </row>
  </sheetData>
  <dataValidations>
    <dataValidation type="custom" allowBlank="1" showDropDown="1" sqref="K2:K14">
      <formula1>AND(ISNUMBER(K2),(NOT(OR(NOT(ISERROR(DATEVALUE(K2))), AND(ISNUMBER(K2), LEFT(CELL("format", K2))="D")))))</formula1>
    </dataValidation>
  </dataValidations>
  <drawing r:id="rId1"/>
  <tableParts count="1">
    <tablePart r:id="rId3"/>
  </tableParts>
</worksheet>
</file>