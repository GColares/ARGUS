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RGUS\gestao_projetos\modelos\"/>
    </mc:Choice>
  </mc:AlternateContent>
  <xr:revisionPtr revIDLastSave="0" documentId="13_ncr:1_{7FCAD567-8A06-4315-AECC-DC6456CBEC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lsas_Geral" sheetId="1" r:id="rId1"/>
    <sheet name="Bolsas_Empresa_cc15334.6" sheetId="2" r:id="rId2"/>
    <sheet name="Bolsas_Sebrae_cc15335.4" sheetId="3" r:id="rId3"/>
    <sheet name="Bolsas_Embrapii_cc15338.9" sheetId="4" r:id="rId4"/>
    <sheet name="PT_Retificado2_15.2" sheetId="5" r:id="rId5"/>
  </sheets>
  <definedNames>
    <definedName name="_xlnm._FilterDatabase" localSheetId="0" hidden="1">Bolsas_Geral!$A$1:$U$15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4" l="1"/>
  <c r="L13" i="4"/>
  <c r="L12" i="4"/>
  <c r="L11" i="4"/>
  <c r="L10" i="4"/>
  <c r="L9" i="4"/>
  <c r="L8" i="4"/>
  <c r="L7" i="4"/>
  <c r="L14" i="4" s="1"/>
  <c r="L6" i="4"/>
  <c r="L5" i="4"/>
  <c r="L4" i="4"/>
  <c r="L3" i="4"/>
  <c r="L2" i="4"/>
  <c r="K14" i="3"/>
  <c r="L13" i="3"/>
  <c r="L12" i="3"/>
  <c r="L11" i="3"/>
  <c r="L10" i="3"/>
  <c r="L9" i="3"/>
  <c r="L8" i="3"/>
  <c r="L14" i="3" s="1"/>
  <c r="L7" i="3"/>
  <c r="L6" i="3"/>
  <c r="L5" i="3"/>
  <c r="L4" i="3"/>
  <c r="L3" i="3"/>
  <c r="L2" i="3"/>
  <c r="F29" i="2"/>
  <c r="H28" i="2" s="1"/>
  <c r="E29" i="2"/>
  <c r="C22" i="2"/>
  <c r="B23" i="2" s="1"/>
  <c r="C23" i="2" s="1"/>
  <c r="B24" i="2" s="1"/>
  <c r="C24" i="2" s="1"/>
  <c r="B25" i="2" s="1"/>
  <c r="C25" i="2" s="1"/>
  <c r="B26" i="2" s="1"/>
  <c r="C26" i="2" s="1"/>
  <c r="B27" i="2" s="1"/>
  <c r="C27" i="2" s="1"/>
  <c r="B28" i="2" s="1"/>
  <c r="C28" i="2" s="1"/>
  <c r="D21" i="2"/>
  <c r="F16" i="2"/>
  <c r="E16" i="2"/>
  <c r="D15" i="2"/>
  <c r="D14" i="2"/>
  <c r="D13" i="2"/>
  <c r="D12" i="2"/>
  <c r="D11" i="2"/>
  <c r="D10" i="2"/>
  <c r="D9" i="2"/>
  <c r="D8" i="2"/>
  <c r="L3" i="2"/>
  <c r="H15" i="2" s="1"/>
  <c r="K3" i="2"/>
  <c r="L2" i="2"/>
  <c r="L15" i="1"/>
  <c r="K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<sst xmlns="http://schemas.openxmlformats.org/spreadsheetml/2006/main" count="473" uniqueCount="140">
  <si>
    <t>#</t>
  </si>
  <si>
    <t>Termo de Bolsa</t>
  </si>
  <si>
    <t>Processo</t>
  </si>
  <si>
    <t>Bolsista</t>
  </si>
  <si>
    <t>Função</t>
  </si>
  <si>
    <t>RH</t>
  </si>
  <si>
    <t>Início</t>
  </si>
  <si>
    <t>Encerramento</t>
  </si>
  <si>
    <t>Carga Horária</t>
  </si>
  <si>
    <t>Parcelas</t>
  </si>
  <si>
    <t>Parcela</t>
  </si>
  <si>
    <t>Total</t>
  </si>
  <si>
    <t>Intertício R01</t>
  </si>
  <si>
    <t>Intertício R02</t>
  </si>
  <si>
    <t>Intertício R03</t>
  </si>
  <si>
    <t>Intertício R04</t>
  </si>
  <si>
    <t>Intertício R05</t>
  </si>
  <si>
    <t>Intertício R06</t>
  </si>
  <si>
    <t>Intertício R07</t>
  </si>
  <si>
    <t>Intertício R08</t>
  </si>
  <si>
    <t>Intertício R09</t>
  </si>
  <si>
    <t>1446/2026</t>
  </si>
  <si>
    <t>0298/2026</t>
  </si>
  <si>
    <t>Wenndisson da Silva Souza</t>
  </si>
  <si>
    <t>Coordenador</t>
  </si>
  <si>
    <t>Direto</t>
  </si>
  <si>
    <t>01/06/26 a 31/06/26</t>
  </si>
  <si>
    <t>01/07/26 a 31/07/26</t>
  </si>
  <si>
    <t>03/08/26 a 31/08/26</t>
  </si>
  <si>
    <t>01/09/26 a 30/09/26</t>
  </si>
  <si>
    <t>01/10/26 a 30/10/26</t>
  </si>
  <si>
    <t>02/11/26 a 30/11/26</t>
  </si>
  <si>
    <t>01/12/26 a 31/12/26</t>
  </si>
  <si>
    <t>04/01/27 a 29/01/27</t>
  </si>
  <si>
    <t>01/02/27 a 26/02/27</t>
  </si>
  <si>
    <t>1459/2026</t>
  </si>
  <si>
    <t>0306/2026</t>
  </si>
  <si>
    <t>Geziel Sena Colares</t>
  </si>
  <si>
    <t>Aux-Adm</t>
  </si>
  <si>
    <t>Indireto</t>
  </si>
  <si>
    <t>25/06/26 a 14/07/26</t>
  </si>
  <si>
    <t>15/07/26 a 31/07/26</t>
  </si>
  <si>
    <t>N/A</t>
  </si>
  <si>
    <t>1471/2026</t>
  </si>
  <si>
    <t>0314/2026</t>
  </si>
  <si>
    <t>Gabriel Silveira Alencar</t>
  </si>
  <si>
    <t>Analista de Teste</t>
  </si>
  <si>
    <t>1472/2026</t>
  </si>
  <si>
    <t>Nobuyuki Andrade Ashibe</t>
  </si>
  <si>
    <t>Aluno Graduação - (AI)</t>
  </si>
  <si>
    <t>1473/2026</t>
  </si>
  <si>
    <t>Jose Mario Castro de Amaral</t>
  </si>
  <si>
    <t>Aluno Graduação - (Frontend)</t>
  </si>
  <si>
    <t>1474/2026</t>
  </si>
  <si>
    <t>Bruno Cesar de Souza Falcao</t>
  </si>
  <si>
    <t>Aluno Graduação - (Backend)</t>
  </si>
  <si>
    <t>1475/2026</t>
  </si>
  <si>
    <t>Gabriel Nogueira de Lima</t>
  </si>
  <si>
    <t>Aluno Graduação - (QA)</t>
  </si>
  <si>
    <t>1529/2026</t>
  </si>
  <si>
    <t>0341/2026</t>
  </si>
  <si>
    <t>Eduardo Palhares Júnior</t>
  </si>
  <si>
    <t>Cientista de Dados</t>
  </si>
  <si>
    <t>13/07/26 a 31/07/26</t>
  </si>
  <si>
    <t>01/08/26 a 15/08/26</t>
  </si>
  <si>
    <t>16/08/26 a 31/08/26</t>
  </si>
  <si>
    <t>1545/2026</t>
  </si>
  <si>
    <t>0356/2026</t>
  </si>
  <si>
    <t>Liane de Oliveira Calais Sobreira</t>
  </si>
  <si>
    <t>Analista Integrador</t>
  </si>
  <si>
    <t>20/07/26 a 05/08/26</t>
  </si>
  <si>
    <t>06/08/26 a 31/08/26</t>
  </si>
  <si>
    <t>01/09/26 a 15/09/26</t>
  </si>
  <si>
    <t>16/09/26 a 30/09/26</t>
  </si>
  <si>
    <t>1554/2026</t>
  </si>
  <si>
    <t>0361/2026</t>
  </si>
  <si>
    <t>Cairo José Nascimento Carneiro</t>
  </si>
  <si>
    <t>Aluno Graduação (Frontend)</t>
  </si>
  <si>
    <t>1555/2026</t>
  </si>
  <si>
    <t>Rafael Freire Couto da Silva</t>
  </si>
  <si>
    <t>Aluno Graduação (Backend)</t>
  </si>
  <si>
    <t>1569/2026</t>
  </si>
  <si>
    <t>0371/2026</t>
  </si>
  <si>
    <t>Gabriel Clavila Soares</t>
  </si>
  <si>
    <t>Engenheiro de Software</t>
  </si>
  <si>
    <t>27/07/26 a 12/08/26</t>
  </si>
  <si>
    <t>13/08/26 a 31/08/26</t>
  </si>
  <si>
    <t>1570/2026</t>
  </si>
  <si>
    <t>Sandro Haiden Teixeira</t>
  </si>
  <si>
    <t>Desenvolvedor Full Stack</t>
  </si>
  <si>
    <t>Total_Geral</t>
  </si>
  <si>
    <t>Sub-Total</t>
  </si>
  <si>
    <t>Execucao_Financeira_Geziel_Sena_Colares</t>
  </si>
  <si>
    <t>ra_dt_inicio</t>
  </si>
  <si>
    <t>ra_dt_fim</t>
  </si>
  <si>
    <t>dias</t>
  </si>
  <si>
    <t>ch</t>
  </si>
  <si>
    <t>valor</t>
  </si>
  <si>
    <t>dt_pagamento</t>
  </si>
  <si>
    <t>Saldo</t>
  </si>
  <si>
    <t>Planejamento_Financeiro_Geziel_Sena_Colares</t>
  </si>
  <si>
    <t>Perfil Profissional</t>
  </si>
  <si>
    <t>Nome</t>
  </si>
  <si>
    <t>Custo Mensal (R$)</t>
  </si>
  <si>
    <t>Disponib. Horas/mês</t>
  </si>
  <si>
    <t>Valor Hora</t>
  </si>
  <si>
    <t>Meses Totais</t>
  </si>
  <si>
    <t>Meses SEBRAE</t>
  </si>
  <si>
    <t>Meses EMBRAPII</t>
  </si>
  <si>
    <t>Total SEBRAE</t>
  </si>
  <si>
    <t>Total EMBRAPII</t>
  </si>
  <si>
    <t>R$ 12.000,00</t>
  </si>
  <si>
    <t>R$ 300,00</t>
  </si>
  <si>
    <t>R$ 36.000,00</t>
  </si>
  <si>
    <t>R$ 72.000,00</t>
  </si>
  <si>
    <t>R$ 7.000,00</t>
  </si>
  <si>
    <t>R$ 175,00</t>
  </si>
  <si>
    <t>R$ 21.000,00</t>
  </si>
  <si>
    <t>R$ 42.000,00</t>
  </si>
  <si>
    <t>R$ 5.000,00</t>
  </si>
  <si>
    <t>R$ 125,00</t>
  </si>
  <si>
    <t>R$ 15.000,00</t>
  </si>
  <si>
    <t>R$ 30.000,00</t>
  </si>
  <si>
    <t>Desenvolvedor Fullstack</t>
  </si>
  <si>
    <t>R$ 2.000,00</t>
  </si>
  <si>
    <t>R$ 50,00</t>
  </si>
  <si>
    <t>R$ 6.000,00</t>
  </si>
  <si>
    <t>R$ 2.125,00</t>
  </si>
  <si>
    <t>R$ 53,13</t>
  </si>
  <si>
    <t>-</t>
  </si>
  <si>
    <t>R$ 17.000,00</t>
  </si>
  <si>
    <t>R$ 4.000,00</t>
  </si>
  <si>
    <t>R$ 14.000,00</t>
  </si>
  <si>
    <t>R$ 10.000,00</t>
  </si>
  <si>
    <t>R$ 8.000,00</t>
  </si>
  <si>
    <t>R$ 16.000,00</t>
  </si>
  <si>
    <t>TOTAL</t>
  </si>
  <si>
    <t>R$ 51.125,00</t>
  </si>
  <si>
    <t>R$ 149.000,00</t>
  </si>
  <si>
    <t>R$ 309.000,00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</si>
</sst>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$ -416]#,##0.00"/>
  </numFmts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4"/>
      <name val="Arial"/>
    </font>
    <font>
      <sz val="10"/>
      <color rgb="FF4285F4"/>
      <name val="Arial"/>
    </font>
    <font>
      <b/>
      <sz val="10"/>
      <color theme="4"/>
      <name val="Arial"/>
    </font>
    <font>
      <b/>
      <sz val="10"/>
      <color theme="1"/>
      <name val="Arial"/>
      <scheme val="minor"/>
    </font>
    <font>
      <b/>
      <sz val="10"/>
      <color theme="0"/>
      <name val="Arial"/>
      <scheme val="minor"/>
    </font>
    <font>
      <b/>
      <sz val="10"/>
      <color rgb="FFFFFFFF"/>
      <name val="Arial"/>
      <scheme val="minor"/>
    </font>
    <font>
      <b/>
      <sz val="10"/>
      <color rgb="FF000000"/>
      <name val="Arial"/>
      <scheme val="minor"/>
    </font>
    <font>
      <b/>
      <sz val="8"/>
      <color rgb="FF000000"/>
      <name val="&quot;Calibri&quot;"/>
    </font>
    <font>
      <sz val="8"/>
      <color rgb="FF000000"/>
      <name val="&quot;Calibri&quot;"/>
    </font>
    <font>
      <sz val="8"/>
      <color theme="1"/>
      <name val="&quot;Calibri&quot;"/>
    </font>
  </fonts>
  <fills count="1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rgb="FFB6D7A8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/>
    <xf numFmtId="0" fontId="2" fillId="3" borderId="0" xfId="0" applyFont="1" applyFill="1" applyAlignment="1"/>
    <xf numFmtId="0" fontId="3" fillId="4" borderId="0" xfId="0" applyFont="1" applyFill="1" applyAlignment="1"/>
    <xf numFmtId="0" fontId="2" fillId="0" borderId="0" xfId="0" applyFont="1" applyAlignment="1"/>
    <xf numFmtId="0" fontId="3" fillId="2" borderId="0" xfId="0" applyFont="1" applyFill="1" applyAlignment="1"/>
    <xf numFmtId="0" fontId="2" fillId="4" borderId="0" xfId="0" applyFont="1" applyFill="1" applyAlignment="1"/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5" borderId="0" xfId="0" applyFont="1" applyFill="1" applyAlignment="1"/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5" borderId="0" xfId="0" applyNumberFormat="1" applyFont="1" applyFill="1"/>
    <xf numFmtId="0" fontId="8" fillId="8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0" fontId="5" fillId="9" borderId="0" xfId="0" applyFont="1" applyFill="1" applyAlignment="1"/>
    <xf numFmtId="1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9" borderId="0" xfId="0" applyNumberFormat="1" applyFont="1" applyFill="1"/>
    <xf numFmtId="0" fontId="1" fillId="0" borderId="0" xfId="0" applyFont="1"/>
    <xf numFmtId="0" fontId="9" fillId="10" borderId="0" xfId="0" applyFont="1" applyFill="1" applyAlignment="1">
      <alignment horizontal="center"/>
    </xf>
    <xf numFmtId="0" fontId="10" fillId="11" borderId="0" xfId="0" applyFont="1" applyFill="1" applyAlignment="1"/>
    <xf numFmtId="0" fontId="10" fillId="9" borderId="0" xfId="0" applyFont="1" applyFill="1" applyAlignme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12" borderId="0" xfId="0" applyFont="1" applyFill="1" applyAlignment="1">
      <alignment horizontal="center" vertical="top"/>
    </xf>
    <xf numFmtId="0" fontId="1" fillId="12" borderId="0" xfId="0" applyFont="1" applyFill="1" applyAlignment="1">
      <alignment vertical="top"/>
    </xf>
    <xf numFmtId="0" fontId="9" fillId="12" borderId="0" xfId="0" applyFont="1" applyFill="1" applyAlignment="1">
      <alignment horizontal="center"/>
    </xf>
    <xf numFmtId="0" fontId="3" fillId="13" borderId="0" xfId="0" applyFont="1" applyFill="1" applyAlignment="1"/>
    <xf numFmtId="0" fontId="2" fillId="13" borderId="0" xfId="0" applyFont="1" applyFill="1" applyAlignment="1"/>
    <xf numFmtId="0" fontId="2" fillId="14" borderId="0" xfId="0" applyFont="1" applyFill="1" applyAlignment="1"/>
    <xf numFmtId="0" fontId="5" fillId="5" borderId="0" xfId="0" applyFont="1" applyFill="1" applyAlignment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5" fillId="7" borderId="0" xfId="0" applyFont="1" applyFill="1" applyAlignment="1"/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R$ -416]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R$ -416]#,##0.00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Bolsas_Geral-style" pivot="0" count="5" xr9:uid="{00000000-0011-0000-FFFF-FFFF00000000}">
      <tableStyleElement type="wholeTable" size="0" dxfId="40"/>
      <tableStyleElement type="headerRow" dxfId="39"/>
      <tableStyleElement type="totalRow" dxfId="38"/>
      <tableStyleElement type="firstRowStripe" dxfId="37"/>
      <tableStyleElement type="secondRowStripe" dxfId="36"/>
    </tableStyle>
    <tableStyle name="Bolsas_Empresa_cc15334.6-style" pivot="0" count="5" xr9:uid="{00000000-0011-0000-FFFF-FFFF01000000}">
      <tableStyleElement type="wholeTable" size="0" dxfId="35"/>
      <tableStyleElement type="headerRow" dxfId="34"/>
      <tableStyleElement type="totalRow" dxfId="33"/>
      <tableStyleElement type="firstRowStripe" dxfId="32"/>
      <tableStyleElement type="secondRowStripe" dxfId="31"/>
    </tableStyle>
    <tableStyle name="Bolsas_Sebrae_cc15335.4-style" pivot="0" count="5" xr9:uid="{00000000-0011-0000-FFFF-FFFF02000000}">
      <tableStyleElement type="wholeTable" size="0" dxfId="30"/>
      <tableStyleElement type="headerRow" dxfId="29"/>
      <tableStyleElement type="totalRow" dxfId="28"/>
      <tableStyleElement type="firstRowStripe" dxfId="27"/>
      <tableStyleElement type="secondRowStripe" dxfId="26"/>
    </tableStyle>
    <tableStyle name="Bolsas_Embrapii_cc15338.9-style" pivot="0" count="5" xr9:uid="{00000000-0011-0000-FFFF-FFFF03000000}">
      <tableStyleElement type="wholeTable" size="0" dxfId="25"/>
      <tableStyleElement type="headerRow" dxfId="24"/>
      <tableStyleElement type="total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lsas_Geral" displayName="Bolsas_Geral" ref="A1:U15" totalsRowCount="1">
  <autoFilter ref="A1:U14" xr:uid="{00000000-0009-0000-0100-000001000000}"/>
  <tableColumns count="21">
    <tableColumn id="1" xr3:uid="{00000000-0010-0000-0000-000001000000}" name="#" totalsRowDxfId="20"/>
    <tableColumn id="2" xr3:uid="{00000000-0010-0000-0000-000002000000}" name="Termo de Bolsa" totalsRowDxfId="19"/>
    <tableColumn id="3" xr3:uid="{00000000-0010-0000-0000-000003000000}" name="Processo" totalsRowDxfId="18"/>
    <tableColumn id="4" xr3:uid="{00000000-0010-0000-0000-000004000000}" name="Bolsista" totalsRowDxfId="17"/>
    <tableColumn id="5" xr3:uid="{00000000-0010-0000-0000-000005000000}" name="Função" totalsRowDxfId="16"/>
    <tableColumn id="6" xr3:uid="{00000000-0010-0000-0000-000006000000}" name="RH" totalsRowDxfId="15"/>
    <tableColumn id="7" xr3:uid="{00000000-0010-0000-0000-000007000000}" name="Início" totalsRowDxfId="14"/>
    <tableColumn id="8" xr3:uid="{00000000-0010-0000-0000-000008000000}" name="Encerramento" totalsRowDxfId="13"/>
    <tableColumn id="9" xr3:uid="{00000000-0010-0000-0000-000009000000}" name="Carga Horária" totalsRowDxfId="12"/>
    <tableColumn id="10" xr3:uid="{00000000-0010-0000-0000-00000A000000}" name="Parcelas" totalsRowLabel="Total_Geral" totalsRowDxfId="11"/>
    <tableColumn id="11" xr3:uid="{00000000-0010-0000-0000-00000B000000}" name="Parcela" totalsRowFunction="custom" totalsRowDxfId="10">
      <totalsRowFormula>SUM(Bolsas_Geral[Parcela])</totalsRowFormula>
    </tableColumn>
    <tableColumn id="12" xr3:uid="{00000000-0010-0000-0000-00000C000000}" name="Total" totalsRowFunction="custom" totalsRowDxfId="9">
      <totalsRowFormula>SUM(Bolsas_Geral[Total])</totalsRowFormula>
    </tableColumn>
    <tableColumn id="13" xr3:uid="{00000000-0010-0000-0000-00000D000000}" name="Intertício R01" totalsRowDxfId="8"/>
    <tableColumn id="14" xr3:uid="{00000000-0010-0000-0000-00000E000000}" name="Intertício R02" totalsRowDxfId="7"/>
    <tableColumn id="15" xr3:uid="{00000000-0010-0000-0000-00000F000000}" name="Intertício R03" totalsRowDxfId="6"/>
    <tableColumn id="16" xr3:uid="{00000000-0010-0000-0000-000010000000}" name="Intertício R04" totalsRowDxfId="5"/>
    <tableColumn id="17" xr3:uid="{00000000-0010-0000-0000-000011000000}" name="Intertício R05" totalsRowDxfId="4"/>
    <tableColumn id="18" xr3:uid="{00000000-0010-0000-0000-000012000000}" name="Intertício R06" totalsRowDxfId="3"/>
    <tableColumn id="19" xr3:uid="{00000000-0010-0000-0000-000013000000}" name="Intertício R07" totalsRowDxfId="2"/>
    <tableColumn id="20" xr3:uid="{00000000-0010-0000-0000-000014000000}" name="Intertício R08" totalsRowDxfId="1"/>
    <tableColumn id="21" xr3:uid="{00000000-0010-0000-0000-000015000000}" name="Intertício R09" totalsRowDxfId="0"/>
  </tableColumns>
  <tableStyleInfo name="Bolsas_Ger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lsas_Empresa_cc15334.6" displayName="Bolsas_Empresa_cc15334.6" ref="A1:L3" totalsRowCount="1">
  <tableColumns count="12">
    <tableColumn id="1" xr3:uid="{00000000-0010-0000-0100-000001000000}" name="#"/>
    <tableColumn id="2" xr3:uid="{00000000-0010-0000-0100-000002000000}" name="Termo de Bolsa"/>
    <tableColumn id="3" xr3:uid="{00000000-0010-0000-0100-000003000000}" name="Processo"/>
    <tableColumn id="4" xr3:uid="{00000000-0010-0000-0100-000004000000}" name="Bolsista"/>
    <tableColumn id="5" xr3:uid="{00000000-0010-0000-0100-000005000000}" name="Função"/>
    <tableColumn id="6" xr3:uid="{00000000-0010-0000-0100-000006000000}" name="RH"/>
    <tableColumn id="7" xr3:uid="{00000000-0010-0000-0100-000007000000}" name="Início"/>
    <tableColumn id="8" xr3:uid="{00000000-0010-0000-0100-000008000000}" name="Encerramento"/>
    <tableColumn id="9" xr3:uid="{00000000-0010-0000-0100-000009000000}" name="Carga Horária"/>
    <tableColumn id="10" xr3:uid="{00000000-0010-0000-0100-00000A000000}" name="Parcelas" totalsRowLabel="Sub-Total"/>
    <tableColumn id="11" xr3:uid="{00000000-0010-0000-0100-00000B000000}" name="Parcela" totalsRowFunction="custom">
      <totalsRowFormula>SUM(Bolsas_Empresa_cc15334.6[Parcela])</totalsRowFormula>
    </tableColumn>
    <tableColumn id="12" xr3:uid="{00000000-0010-0000-0100-00000C000000}" name="Total" totalsRowFunction="custom">
      <totalsRowFormula>SUM(Bolsas_Empresa_cc15334.6[Total])</totalsRowFormula>
    </tableColumn>
  </tableColumns>
  <tableStyleInfo name="Bolsas_Empresa_cc15334.6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olsas_Sebrae_cc15335.4" displayName="Bolsas_Sebrae_cc15335.4" ref="A1:L14" totalsRowCount="1">
  <tableColumns count="12">
    <tableColumn id="1" xr3:uid="{00000000-0010-0000-0200-000001000000}" name="#"/>
    <tableColumn id="2" xr3:uid="{00000000-0010-0000-0200-000002000000}" name="Termo de Bolsa"/>
    <tableColumn id="3" xr3:uid="{00000000-0010-0000-0200-000003000000}" name="Processo"/>
    <tableColumn id="4" xr3:uid="{00000000-0010-0000-0200-000004000000}" name="Bolsista"/>
    <tableColumn id="5" xr3:uid="{00000000-0010-0000-0200-000005000000}" name="Função"/>
    <tableColumn id="6" xr3:uid="{00000000-0010-0000-0200-000006000000}" name="RH"/>
    <tableColumn id="7" xr3:uid="{00000000-0010-0000-0200-000007000000}" name="Início"/>
    <tableColumn id="8" xr3:uid="{00000000-0010-0000-0200-000008000000}" name="Encerramento"/>
    <tableColumn id="9" xr3:uid="{00000000-0010-0000-0200-000009000000}" name="Carga Horária"/>
    <tableColumn id="10" xr3:uid="{00000000-0010-0000-0200-00000A000000}" name="Parcelas" totalsRowLabel="Sub-Total"/>
    <tableColumn id="11" xr3:uid="{00000000-0010-0000-0200-00000B000000}" name="Parcela" totalsRowFunction="custom">
      <totalsRowFormula>SUM(Bolsas_Sebrae_cc15335.4[Parcela])</totalsRowFormula>
    </tableColumn>
    <tableColumn id="12" xr3:uid="{00000000-0010-0000-0200-00000C000000}" name="Total" totalsRowFunction="custom">
      <totalsRowFormula>SUM(Bolsas_Sebrae_cc15335.4[Total])</totalsRowFormula>
    </tableColumn>
  </tableColumns>
  <tableStyleInfo name="Bolsas_Sebrae_cc15335.4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olsas_Embrapii_cc15338.9" displayName="Bolsas_Embrapii_cc15338.9" ref="A1:L14" totalsRowCount="1">
  <tableColumns count="12">
    <tableColumn id="1" xr3:uid="{00000000-0010-0000-0300-000001000000}" name="#"/>
    <tableColumn id="2" xr3:uid="{00000000-0010-0000-0300-000002000000}" name="Termo de Bolsa"/>
    <tableColumn id="3" xr3:uid="{00000000-0010-0000-0300-000003000000}" name="Processo"/>
    <tableColumn id="4" xr3:uid="{00000000-0010-0000-0300-000004000000}" name="Bolsista"/>
    <tableColumn id="5" xr3:uid="{00000000-0010-0000-0300-000005000000}" name="Função"/>
    <tableColumn id="6" xr3:uid="{00000000-0010-0000-0300-000006000000}" name="RH"/>
    <tableColumn id="7" xr3:uid="{00000000-0010-0000-0300-000007000000}" name="Início"/>
    <tableColumn id="8" xr3:uid="{00000000-0010-0000-0300-000008000000}" name="Encerramento"/>
    <tableColumn id="9" xr3:uid="{00000000-0010-0000-0300-000009000000}" name="Carga Horária"/>
    <tableColumn id="10" xr3:uid="{00000000-0010-0000-0300-00000A000000}" name="Parcelas" totalsRowLabel="Sub-Total"/>
    <tableColumn id="11" xr3:uid="{00000000-0010-0000-0300-00000B000000}" name="Parcela" totalsRowFunction="custom">
      <totalsRowFormula>SUM(Bolsas_Embrapii_cc15338.9[Parcela])</totalsRowFormula>
    </tableColumn>
    <tableColumn id="12" xr3:uid="{00000000-0010-0000-0300-00000C000000}" name="Total" totalsRowFunction="custom">
      <totalsRowFormula>SUM(Bolsas_Embrapii_cc15338.9[Total])</totalsRowFormula>
    </tableColumn>
  </tableColumns>
  <tableStyleInfo name="Bolsas_Embrapii_cc15338.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5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O6" sqref="O6"/>
    </sheetView>
  </sheetViews>
  <sheetFormatPr defaultColWidth="12.5703125" defaultRowHeight="15.75" customHeight="1"/>
  <cols>
    <col min="1" max="1" width="6.42578125" customWidth="1"/>
    <col min="2" max="2" width="17.28515625" customWidth="1"/>
    <col min="3" max="3" width="12.42578125" customWidth="1"/>
    <col min="4" max="4" width="26.42578125" customWidth="1"/>
    <col min="5" max="5" width="24.140625" customWidth="1"/>
    <col min="6" max="6" width="7.85546875" hidden="1" customWidth="1"/>
    <col min="7" max="7" width="11.140625" hidden="1" customWidth="1"/>
    <col min="8" max="8" width="16" hidden="1" customWidth="1"/>
    <col min="9" max="9" width="15.85546875" hidden="1" customWidth="1"/>
    <col min="10" max="10" width="12" customWidth="1"/>
    <col min="11" max="11" width="14.42578125" hidden="1" customWidth="1"/>
    <col min="12" max="12" width="12.85546875" hidden="1" customWidth="1"/>
    <col min="13" max="17" width="17.140625" customWidth="1"/>
    <col min="18" max="18" width="16.85546875" customWidth="1"/>
    <col min="19" max="21" width="17.140625" customWidth="1"/>
  </cols>
  <sheetData>
    <row r="1" spans="1:2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22.5" customHeight="1">
      <c r="A2" s="1">
        <v>1</v>
      </c>
      <c r="B2" s="1" t="s">
        <v>21</v>
      </c>
      <c r="C2" s="1" t="s">
        <v>22</v>
      </c>
      <c r="D2" s="5" t="s">
        <v>23</v>
      </c>
      <c r="E2" s="5" t="s">
        <v>24</v>
      </c>
      <c r="F2" s="1" t="s">
        <v>25</v>
      </c>
      <c r="G2" s="6">
        <v>46174</v>
      </c>
      <c r="H2" s="6">
        <v>46446</v>
      </c>
      <c r="I2" s="1">
        <v>360</v>
      </c>
      <c r="J2" s="1">
        <v>9</v>
      </c>
      <c r="K2" s="7">
        <v>12000</v>
      </c>
      <c r="L2" s="8">
        <f t="shared" ref="L2:L14" si="0">J2*K2</f>
        <v>108000</v>
      </c>
      <c r="M2" s="54" t="s">
        <v>26</v>
      </c>
      <c r="N2" s="9" t="s">
        <v>27</v>
      </c>
      <c r="O2" s="10" t="s">
        <v>28</v>
      </c>
      <c r="P2" s="11" t="s">
        <v>29</v>
      </c>
      <c r="Q2" s="52" t="s">
        <v>30</v>
      </c>
      <c r="R2" s="12" t="s">
        <v>31</v>
      </c>
      <c r="S2" s="12" t="s">
        <v>32</v>
      </c>
      <c r="T2" s="12" t="s">
        <v>33</v>
      </c>
      <c r="U2" s="12" t="s">
        <v>34</v>
      </c>
    </row>
    <row r="3" spans="1:21" ht="22.5" customHeight="1">
      <c r="A3" s="1">
        <v>2</v>
      </c>
      <c r="B3" s="1" t="s">
        <v>35</v>
      </c>
      <c r="C3" s="1" t="s">
        <v>36</v>
      </c>
      <c r="D3" s="5" t="s">
        <v>37</v>
      </c>
      <c r="E3" s="5" t="s">
        <v>38</v>
      </c>
      <c r="F3" s="1" t="s">
        <v>39</v>
      </c>
      <c r="G3" s="6">
        <v>46198</v>
      </c>
      <c r="H3" s="6">
        <v>46446</v>
      </c>
      <c r="I3" s="1">
        <v>160</v>
      </c>
      <c r="J3" s="1">
        <v>8</v>
      </c>
      <c r="K3" s="7">
        <v>2800</v>
      </c>
      <c r="L3" s="8">
        <f t="shared" si="0"/>
        <v>22400</v>
      </c>
      <c r="M3" s="9" t="s">
        <v>40</v>
      </c>
      <c r="N3" s="13" t="s">
        <v>41</v>
      </c>
      <c r="O3" s="10" t="s">
        <v>28</v>
      </c>
      <c r="P3" s="14" t="s">
        <v>29</v>
      </c>
      <c r="Q3" s="53" t="s">
        <v>30</v>
      </c>
      <c r="R3" s="12" t="s">
        <v>31</v>
      </c>
      <c r="S3" s="12" t="s">
        <v>32</v>
      </c>
      <c r="T3" s="12" t="s">
        <v>33</v>
      </c>
      <c r="U3" s="15" t="s">
        <v>42</v>
      </c>
    </row>
    <row r="4" spans="1:21" ht="22.5" customHeight="1">
      <c r="A4" s="1">
        <v>3</v>
      </c>
      <c r="B4" s="1" t="s">
        <v>43</v>
      </c>
      <c r="C4" s="1" t="s">
        <v>44</v>
      </c>
      <c r="D4" s="16" t="s">
        <v>45</v>
      </c>
      <c r="E4" s="5" t="s">
        <v>46</v>
      </c>
      <c r="F4" s="1" t="s">
        <v>25</v>
      </c>
      <c r="G4" s="6">
        <v>46198</v>
      </c>
      <c r="H4" s="6">
        <v>46446</v>
      </c>
      <c r="I4" s="1">
        <v>360</v>
      </c>
      <c r="J4" s="1">
        <v>9</v>
      </c>
      <c r="K4" s="7">
        <v>5000</v>
      </c>
      <c r="L4" s="8">
        <f t="shared" si="0"/>
        <v>45000</v>
      </c>
      <c r="M4" s="9" t="s">
        <v>40</v>
      </c>
      <c r="N4" s="9" t="s">
        <v>41</v>
      </c>
      <c r="O4" s="10" t="s">
        <v>28</v>
      </c>
      <c r="P4" s="14" t="s">
        <v>29</v>
      </c>
      <c r="Q4" s="53" t="s">
        <v>30</v>
      </c>
      <c r="R4" s="12" t="s">
        <v>31</v>
      </c>
      <c r="S4" s="12" t="s">
        <v>32</v>
      </c>
      <c r="T4" s="12" t="s">
        <v>33</v>
      </c>
      <c r="U4" s="12" t="s">
        <v>34</v>
      </c>
    </row>
    <row r="5" spans="1:21" ht="22.5" customHeight="1">
      <c r="A5" s="1">
        <v>4</v>
      </c>
      <c r="B5" s="1" t="s">
        <v>47</v>
      </c>
      <c r="C5" s="1" t="s">
        <v>44</v>
      </c>
      <c r="D5" s="16" t="s">
        <v>48</v>
      </c>
      <c r="E5" s="5" t="s">
        <v>49</v>
      </c>
      <c r="F5" s="1" t="s">
        <v>25</v>
      </c>
      <c r="G5" s="6">
        <v>46198</v>
      </c>
      <c r="H5" s="6">
        <v>46446</v>
      </c>
      <c r="I5" s="1">
        <v>360</v>
      </c>
      <c r="J5" s="1">
        <v>9</v>
      </c>
      <c r="K5" s="7">
        <v>2000</v>
      </c>
      <c r="L5" s="8">
        <f t="shared" si="0"/>
        <v>18000</v>
      </c>
      <c r="M5" s="9" t="s">
        <v>40</v>
      </c>
      <c r="N5" s="9" t="s">
        <v>41</v>
      </c>
      <c r="O5" s="10" t="s">
        <v>28</v>
      </c>
      <c r="P5" s="14" t="s">
        <v>29</v>
      </c>
      <c r="Q5" s="53" t="s">
        <v>30</v>
      </c>
      <c r="R5" s="12" t="s">
        <v>31</v>
      </c>
      <c r="S5" s="12" t="s">
        <v>32</v>
      </c>
      <c r="T5" s="12" t="s">
        <v>33</v>
      </c>
      <c r="U5" s="12" t="s">
        <v>34</v>
      </c>
    </row>
    <row r="6" spans="1:21" ht="22.5" customHeight="1">
      <c r="A6" s="1">
        <v>5</v>
      </c>
      <c r="B6" s="1" t="s">
        <v>50</v>
      </c>
      <c r="C6" s="1" t="s">
        <v>44</v>
      </c>
      <c r="D6" s="16" t="s">
        <v>51</v>
      </c>
      <c r="E6" s="5" t="s">
        <v>52</v>
      </c>
      <c r="F6" s="1" t="s">
        <v>25</v>
      </c>
      <c r="G6" s="6">
        <v>46198</v>
      </c>
      <c r="H6" s="6">
        <v>46446</v>
      </c>
      <c r="I6" s="1">
        <v>360</v>
      </c>
      <c r="J6" s="1">
        <v>9</v>
      </c>
      <c r="K6" s="7">
        <v>2000</v>
      </c>
      <c r="L6" s="8">
        <f t="shared" si="0"/>
        <v>18000</v>
      </c>
      <c r="M6" s="9" t="s">
        <v>40</v>
      </c>
      <c r="N6" s="9" t="s">
        <v>41</v>
      </c>
      <c r="O6" s="10" t="s">
        <v>28</v>
      </c>
      <c r="P6" s="14" t="s">
        <v>29</v>
      </c>
      <c r="Q6" s="53" t="s">
        <v>30</v>
      </c>
      <c r="R6" s="12" t="s">
        <v>31</v>
      </c>
      <c r="S6" s="12" t="s">
        <v>32</v>
      </c>
      <c r="T6" s="12" t="s">
        <v>33</v>
      </c>
      <c r="U6" s="12" t="s">
        <v>34</v>
      </c>
    </row>
    <row r="7" spans="1:21" ht="22.5" customHeight="1">
      <c r="A7" s="1">
        <v>6</v>
      </c>
      <c r="B7" s="1" t="s">
        <v>53</v>
      </c>
      <c r="C7" s="1" t="s">
        <v>44</v>
      </c>
      <c r="D7" s="16" t="s">
        <v>54</v>
      </c>
      <c r="E7" s="5" t="s">
        <v>55</v>
      </c>
      <c r="F7" s="1" t="s">
        <v>25</v>
      </c>
      <c r="G7" s="6">
        <v>46198</v>
      </c>
      <c r="H7" s="6">
        <v>46446</v>
      </c>
      <c r="I7" s="1">
        <v>360</v>
      </c>
      <c r="J7" s="1">
        <v>9</v>
      </c>
      <c r="K7" s="7">
        <v>2000</v>
      </c>
      <c r="L7" s="8">
        <f t="shared" si="0"/>
        <v>18000</v>
      </c>
      <c r="M7" s="9" t="s">
        <v>40</v>
      </c>
      <c r="N7" s="9" t="s">
        <v>41</v>
      </c>
      <c r="O7" s="10" t="s">
        <v>28</v>
      </c>
      <c r="P7" s="14" t="s">
        <v>29</v>
      </c>
      <c r="Q7" s="53" t="s">
        <v>30</v>
      </c>
      <c r="R7" s="12" t="s">
        <v>31</v>
      </c>
      <c r="S7" s="12" t="s">
        <v>32</v>
      </c>
      <c r="T7" s="12" t="s">
        <v>33</v>
      </c>
      <c r="U7" s="12" t="s">
        <v>34</v>
      </c>
    </row>
    <row r="8" spans="1:21" ht="22.5" customHeight="1">
      <c r="A8" s="1">
        <v>7</v>
      </c>
      <c r="B8" s="1" t="s">
        <v>56</v>
      </c>
      <c r="C8" s="1" t="s">
        <v>44</v>
      </c>
      <c r="D8" s="16" t="s">
        <v>57</v>
      </c>
      <c r="E8" s="5" t="s">
        <v>58</v>
      </c>
      <c r="F8" s="1" t="s">
        <v>25</v>
      </c>
      <c r="G8" s="6">
        <v>46198</v>
      </c>
      <c r="H8" s="6">
        <v>46446</v>
      </c>
      <c r="I8" s="1">
        <v>360</v>
      </c>
      <c r="J8" s="1">
        <v>9</v>
      </c>
      <c r="K8" s="7">
        <v>2000</v>
      </c>
      <c r="L8" s="8">
        <f t="shared" si="0"/>
        <v>18000</v>
      </c>
      <c r="M8" s="13" t="s">
        <v>40</v>
      </c>
      <c r="N8" s="9" t="s">
        <v>41</v>
      </c>
      <c r="O8" s="10" t="s">
        <v>28</v>
      </c>
      <c r="P8" s="14" t="s">
        <v>29</v>
      </c>
      <c r="Q8" s="53" t="s">
        <v>30</v>
      </c>
      <c r="R8" s="12" t="s">
        <v>31</v>
      </c>
      <c r="S8" s="12" t="s">
        <v>32</v>
      </c>
      <c r="T8" s="12" t="s">
        <v>33</v>
      </c>
      <c r="U8" s="12" t="s">
        <v>34</v>
      </c>
    </row>
    <row r="9" spans="1:21" ht="22.5" customHeight="1">
      <c r="A9" s="1">
        <v>8</v>
      </c>
      <c r="B9" s="1" t="s">
        <v>59</v>
      </c>
      <c r="C9" s="1" t="s">
        <v>60</v>
      </c>
      <c r="D9" s="16" t="s">
        <v>61</v>
      </c>
      <c r="E9" s="5" t="s">
        <v>62</v>
      </c>
      <c r="F9" s="1" t="s">
        <v>25</v>
      </c>
      <c r="G9" s="6">
        <v>46216</v>
      </c>
      <c r="H9" s="6">
        <v>46446</v>
      </c>
      <c r="I9" s="1">
        <v>360</v>
      </c>
      <c r="J9" s="1">
        <v>9</v>
      </c>
      <c r="K9" s="7">
        <v>7000</v>
      </c>
      <c r="L9" s="8">
        <f t="shared" si="0"/>
        <v>63000</v>
      </c>
      <c r="M9" s="9" t="s">
        <v>63</v>
      </c>
      <c r="N9" s="10" t="s">
        <v>64</v>
      </c>
      <c r="O9" s="10" t="s">
        <v>65</v>
      </c>
      <c r="P9" s="14" t="s">
        <v>29</v>
      </c>
      <c r="Q9" s="53" t="s">
        <v>30</v>
      </c>
      <c r="R9" s="12" t="s">
        <v>31</v>
      </c>
      <c r="S9" s="12" t="s">
        <v>32</v>
      </c>
      <c r="T9" s="12" t="s">
        <v>33</v>
      </c>
      <c r="U9" s="12" t="s">
        <v>34</v>
      </c>
    </row>
    <row r="10" spans="1:21" ht="22.5" customHeight="1">
      <c r="A10" s="1">
        <v>9</v>
      </c>
      <c r="B10" s="1" t="s">
        <v>66</v>
      </c>
      <c r="C10" s="1" t="s">
        <v>67</v>
      </c>
      <c r="D10" s="16" t="s">
        <v>68</v>
      </c>
      <c r="E10" s="5" t="s">
        <v>69</v>
      </c>
      <c r="F10" s="1" t="s">
        <v>25</v>
      </c>
      <c r="G10" s="6">
        <v>46223</v>
      </c>
      <c r="H10" s="6">
        <v>46446</v>
      </c>
      <c r="I10" s="1">
        <v>360</v>
      </c>
      <c r="J10" s="1">
        <v>9</v>
      </c>
      <c r="K10" s="7">
        <v>5000</v>
      </c>
      <c r="L10" s="8">
        <f t="shared" si="0"/>
        <v>45000</v>
      </c>
      <c r="M10" s="13" t="s">
        <v>70</v>
      </c>
      <c r="N10" s="10" t="s">
        <v>71</v>
      </c>
      <c r="O10" s="14" t="s">
        <v>72</v>
      </c>
      <c r="P10" s="14" t="s">
        <v>73</v>
      </c>
      <c r="Q10" s="53" t="s">
        <v>30</v>
      </c>
      <c r="R10" s="12" t="s">
        <v>31</v>
      </c>
      <c r="S10" s="12" t="s">
        <v>32</v>
      </c>
      <c r="T10" s="12" t="s">
        <v>33</v>
      </c>
      <c r="U10" s="12" t="s">
        <v>34</v>
      </c>
    </row>
    <row r="11" spans="1:21" ht="22.5" customHeight="1">
      <c r="A11" s="1">
        <v>10</v>
      </c>
      <c r="B11" s="1" t="s">
        <v>74</v>
      </c>
      <c r="C11" s="1" t="s">
        <v>75</v>
      </c>
      <c r="D11" s="16" t="s">
        <v>76</v>
      </c>
      <c r="E11" s="5" t="s">
        <v>77</v>
      </c>
      <c r="F11" s="1" t="s">
        <v>25</v>
      </c>
      <c r="G11" s="6">
        <v>46223</v>
      </c>
      <c r="H11" s="6">
        <v>46446</v>
      </c>
      <c r="I11" s="1">
        <v>320</v>
      </c>
      <c r="J11" s="1">
        <v>8</v>
      </c>
      <c r="K11" s="7">
        <v>2125</v>
      </c>
      <c r="L11" s="8">
        <f t="shared" si="0"/>
        <v>17000</v>
      </c>
      <c r="M11" s="9" t="s">
        <v>70</v>
      </c>
      <c r="N11" s="10" t="s">
        <v>71</v>
      </c>
      <c r="O11" s="14" t="s">
        <v>29</v>
      </c>
      <c r="P11" s="53" t="s">
        <v>30</v>
      </c>
      <c r="Q11" s="12" t="s">
        <v>31</v>
      </c>
      <c r="R11" s="12" t="s">
        <v>32</v>
      </c>
      <c r="S11" s="12" t="s">
        <v>33</v>
      </c>
      <c r="T11" s="12" t="s">
        <v>34</v>
      </c>
      <c r="U11" s="15" t="s">
        <v>42</v>
      </c>
    </row>
    <row r="12" spans="1:21" ht="22.5" customHeight="1">
      <c r="A12" s="1">
        <v>11</v>
      </c>
      <c r="B12" s="1" t="s">
        <v>78</v>
      </c>
      <c r="C12" s="1" t="s">
        <v>75</v>
      </c>
      <c r="D12" s="16" t="s">
        <v>79</v>
      </c>
      <c r="E12" s="5" t="s">
        <v>80</v>
      </c>
      <c r="F12" s="1" t="s">
        <v>25</v>
      </c>
      <c r="G12" s="6">
        <v>46223</v>
      </c>
      <c r="H12" s="6">
        <v>46446</v>
      </c>
      <c r="I12" s="1">
        <v>360</v>
      </c>
      <c r="J12" s="1">
        <v>9</v>
      </c>
      <c r="K12" s="7">
        <v>2000</v>
      </c>
      <c r="L12" s="8">
        <f t="shared" si="0"/>
        <v>18000</v>
      </c>
      <c r="M12" s="9" t="s">
        <v>70</v>
      </c>
      <c r="N12" s="10" t="s">
        <v>71</v>
      </c>
      <c r="O12" s="14" t="s">
        <v>72</v>
      </c>
      <c r="P12" s="14" t="s">
        <v>73</v>
      </c>
      <c r="Q12" s="53" t="s">
        <v>30</v>
      </c>
      <c r="R12" s="12" t="s">
        <v>31</v>
      </c>
      <c r="S12" s="12" t="s">
        <v>32</v>
      </c>
      <c r="T12" s="12" t="s">
        <v>33</v>
      </c>
      <c r="U12" s="12" t="s">
        <v>34</v>
      </c>
    </row>
    <row r="13" spans="1:21" ht="22.5" customHeight="1">
      <c r="A13" s="1">
        <v>12</v>
      </c>
      <c r="B13" s="1" t="s">
        <v>81</v>
      </c>
      <c r="C13" s="1" t="s">
        <v>82</v>
      </c>
      <c r="D13" s="16" t="s">
        <v>83</v>
      </c>
      <c r="E13" s="5" t="s">
        <v>84</v>
      </c>
      <c r="F13" s="1" t="s">
        <v>25</v>
      </c>
      <c r="G13" s="6">
        <v>46230</v>
      </c>
      <c r="H13" s="6">
        <v>46446</v>
      </c>
      <c r="I13" s="1">
        <v>360</v>
      </c>
      <c r="J13" s="1">
        <v>9</v>
      </c>
      <c r="K13" s="7">
        <v>5000</v>
      </c>
      <c r="L13" s="8">
        <f t="shared" si="0"/>
        <v>45000</v>
      </c>
      <c r="M13" s="9" t="s">
        <v>85</v>
      </c>
      <c r="N13" s="10" t="s">
        <v>86</v>
      </c>
      <c r="O13" s="14" t="s">
        <v>72</v>
      </c>
      <c r="P13" s="14" t="s">
        <v>73</v>
      </c>
      <c r="Q13" s="53" t="s">
        <v>30</v>
      </c>
      <c r="R13" s="12" t="s">
        <v>31</v>
      </c>
      <c r="S13" s="12" t="s">
        <v>32</v>
      </c>
      <c r="T13" s="12" t="s">
        <v>33</v>
      </c>
      <c r="U13" s="12" t="s">
        <v>34</v>
      </c>
    </row>
    <row r="14" spans="1:21" ht="22.5" customHeight="1">
      <c r="A14" s="1">
        <v>13</v>
      </c>
      <c r="B14" s="1" t="s">
        <v>87</v>
      </c>
      <c r="C14" s="1" t="s">
        <v>82</v>
      </c>
      <c r="D14" s="16" t="s">
        <v>88</v>
      </c>
      <c r="E14" s="16" t="s">
        <v>89</v>
      </c>
      <c r="F14" s="1" t="s">
        <v>25</v>
      </c>
      <c r="G14" s="6">
        <v>46230</v>
      </c>
      <c r="H14" s="6">
        <v>46446</v>
      </c>
      <c r="I14" s="1">
        <v>360</v>
      </c>
      <c r="J14" s="1">
        <v>9</v>
      </c>
      <c r="K14" s="7">
        <v>5000</v>
      </c>
      <c r="L14" s="8">
        <f t="shared" si="0"/>
        <v>45000</v>
      </c>
      <c r="M14" s="9" t="s">
        <v>85</v>
      </c>
      <c r="N14" s="10" t="s">
        <v>86</v>
      </c>
      <c r="O14" s="14" t="s">
        <v>72</v>
      </c>
      <c r="P14" s="14" t="s">
        <v>73</v>
      </c>
      <c r="Q14" s="53" t="s">
        <v>30</v>
      </c>
      <c r="R14" s="12" t="s">
        <v>31</v>
      </c>
      <c r="S14" s="12" t="s">
        <v>32</v>
      </c>
      <c r="T14" s="12" t="s">
        <v>33</v>
      </c>
      <c r="U14" s="12" t="s">
        <v>34</v>
      </c>
    </row>
    <row r="15" spans="1:21" ht="22.5" customHeight="1">
      <c r="A15" s="1"/>
      <c r="B15" s="17"/>
      <c r="C15" s="17"/>
      <c r="D15" s="18"/>
      <c r="E15" s="19"/>
      <c r="F15" s="17"/>
      <c r="G15" s="17"/>
      <c r="H15" s="17"/>
      <c r="I15" s="17"/>
      <c r="J15" s="20" t="s">
        <v>90</v>
      </c>
      <c r="K15" s="21">
        <f>SUM(Bolsas_Geral[Parcela])</f>
        <v>53925</v>
      </c>
      <c r="L15" s="21">
        <f>SUM(Bolsas_Geral[Total])</f>
        <v>480400</v>
      </c>
      <c r="M15" s="22"/>
      <c r="N15" s="22"/>
      <c r="O15" s="22"/>
      <c r="P15" s="22"/>
      <c r="Q15" s="22"/>
      <c r="R15" s="22"/>
      <c r="S15" s="22"/>
      <c r="T15" s="22"/>
      <c r="U15" s="22"/>
    </row>
  </sheetData>
  <dataValidations count="1">
    <dataValidation type="custom" allowBlank="1" showDropDown="1" sqref="K2:K14" xr:uid="{00000000-0002-0000-0000-000000000000}">
      <formula1>AND(ISNUMBER(K2),(NOT(OR(NOT(ISERROR(DATEVALUE(K2))), AND(ISNUMBER(K2), LEFT(CELL("format", K2))="D")))))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2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" customWidth="1"/>
    <col min="2" max="2" width="17.5703125" customWidth="1"/>
    <col min="3" max="3" width="16.5703125" customWidth="1"/>
    <col min="4" max="4" width="17" customWidth="1"/>
    <col min="5" max="5" width="11" customWidth="1"/>
    <col min="6" max="6" width="10.140625" customWidth="1"/>
    <col min="7" max="7" width="16.42578125" customWidth="1"/>
    <col min="8" max="8" width="15.85546875" customWidth="1"/>
    <col min="9" max="9" width="15.7109375" customWidth="1"/>
    <col min="10" max="10" width="12" customWidth="1"/>
    <col min="11" max="11" width="14.42578125" customWidth="1"/>
    <col min="12" max="12" width="12" customWidth="1"/>
  </cols>
  <sheetData>
    <row r="1" spans="1:29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29" ht="22.5" customHeight="1">
      <c r="A2" s="1">
        <v>1</v>
      </c>
      <c r="B2" s="1" t="s">
        <v>35</v>
      </c>
      <c r="C2" s="1" t="s">
        <v>36</v>
      </c>
      <c r="D2" s="5" t="s">
        <v>37</v>
      </c>
      <c r="E2" s="5" t="s">
        <v>38</v>
      </c>
      <c r="F2" s="1" t="s">
        <v>39</v>
      </c>
      <c r="G2" s="6">
        <v>46198</v>
      </c>
      <c r="H2" s="6">
        <v>46446</v>
      </c>
      <c r="I2" s="1">
        <v>160</v>
      </c>
      <c r="J2" s="1">
        <v>8</v>
      </c>
      <c r="K2" s="7">
        <v>2800</v>
      </c>
      <c r="L2" s="8">
        <f>J2*K2</f>
        <v>22400</v>
      </c>
    </row>
    <row r="3" spans="1:29" ht="22.5" customHeight="1">
      <c r="A3" s="18"/>
      <c r="B3" s="18"/>
      <c r="C3" s="18"/>
      <c r="D3" s="18"/>
      <c r="E3" s="18"/>
      <c r="F3" s="18"/>
      <c r="G3" s="18"/>
      <c r="H3" s="18"/>
      <c r="I3" s="18"/>
      <c r="J3" s="23" t="s">
        <v>91</v>
      </c>
      <c r="K3" s="21">
        <f>SUM(Bolsas_Empresa_cc15334.6[Parcela])</f>
        <v>2800</v>
      </c>
      <c r="L3" s="21">
        <f>SUM(Bolsas_Empresa_cc15334.6[Total])</f>
        <v>22400</v>
      </c>
    </row>
    <row r="6" spans="1:29" ht="12.75">
      <c r="A6" s="55" t="s">
        <v>92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</row>
    <row r="7" spans="1:29" ht="12.75">
      <c r="A7" s="25" t="s">
        <v>10</v>
      </c>
      <c r="B7" s="26" t="s">
        <v>93</v>
      </c>
      <c r="C7" s="26" t="s">
        <v>94</v>
      </c>
      <c r="D7" s="25" t="s">
        <v>95</v>
      </c>
      <c r="E7" s="25" t="s">
        <v>96</v>
      </c>
      <c r="F7" s="25" t="s">
        <v>97</v>
      </c>
      <c r="G7" s="25" t="s">
        <v>98</v>
      </c>
    </row>
    <row r="8" spans="1:29" ht="12.75">
      <c r="A8" s="27">
        <v>1</v>
      </c>
      <c r="B8" s="28">
        <v>46198</v>
      </c>
      <c r="C8" s="28">
        <v>46217</v>
      </c>
      <c r="D8" s="27">
        <f t="shared" ref="D8:D15" si="0">C8-B8+1</f>
        <v>20</v>
      </c>
      <c r="E8" s="27">
        <v>20</v>
      </c>
      <c r="F8" s="29">
        <v>2800</v>
      </c>
      <c r="G8" s="28">
        <v>46220</v>
      </c>
    </row>
    <row r="9" spans="1:29" ht="12.75">
      <c r="A9" s="27">
        <v>2</v>
      </c>
      <c r="B9" s="28">
        <v>46218</v>
      </c>
      <c r="C9" s="28">
        <v>46234</v>
      </c>
      <c r="D9" s="27">
        <f t="shared" si="0"/>
        <v>17</v>
      </c>
      <c r="E9" s="27">
        <v>20</v>
      </c>
      <c r="F9" s="29">
        <v>2800</v>
      </c>
      <c r="G9" s="28">
        <v>46240</v>
      </c>
    </row>
    <row r="10" spans="1:29" ht="12.75">
      <c r="A10" s="27">
        <v>3</v>
      </c>
      <c r="B10" s="28">
        <v>46237</v>
      </c>
      <c r="C10" s="28">
        <v>46265</v>
      </c>
      <c r="D10" s="27">
        <f t="shared" si="0"/>
        <v>29</v>
      </c>
      <c r="E10" s="27">
        <v>20</v>
      </c>
      <c r="F10" s="29">
        <v>2800</v>
      </c>
      <c r="G10" s="30"/>
    </row>
    <row r="11" spans="1:29" ht="12.75">
      <c r="A11" s="27">
        <v>4</v>
      </c>
      <c r="B11" s="28">
        <v>46266</v>
      </c>
      <c r="C11" s="28">
        <v>46295</v>
      </c>
      <c r="D11" s="27">
        <f t="shared" si="0"/>
        <v>30</v>
      </c>
      <c r="E11" s="27">
        <v>20</v>
      </c>
      <c r="F11" s="31"/>
      <c r="G11" s="30"/>
    </row>
    <row r="12" spans="1:29" ht="12.75">
      <c r="A12" s="27">
        <v>5</v>
      </c>
      <c r="B12" s="28">
        <v>46296</v>
      </c>
      <c r="C12" s="28">
        <v>46325</v>
      </c>
      <c r="D12" s="27">
        <f t="shared" si="0"/>
        <v>30</v>
      </c>
      <c r="E12" s="27">
        <v>20</v>
      </c>
      <c r="F12" s="31"/>
      <c r="G12" s="30"/>
    </row>
    <row r="13" spans="1:29" ht="12.75">
      <c r="A13" s="27">
        <v>6</v>
      </c>
      <c r="B13" s="28">
        <v>46328</v>
      </c>
      <c r="C13" s="28">
        <v>46356</v>
      </c>
      <c r="D13" s="27">
        <f t="shared" si="0"/>
        <v>29</v>
      </c>
      <c r="E13" s="27">
        <v>20</v>
      </c>
      <c r="F13" s="31"/>
      <c r="G13" s="30"/>
    </row>
    <row r="14" spans="1:29" ht="12.75">
      <c r="A14" s="27">
        <v>7</v>
      </c>
      <c r="B14" s="28">
        <v>46357</v>
      </c>
      <c r="C14" s="28">
        <v>46387</v>
      </c>
      <c r="D14" s="27">
        <f t="shared" si="0"/>
        <v>31</v>
      </c>
      <c r="E14" s="27">
        <v>20</v>
      </c>
      <c r="F14" s="31"/>
      <c r="G14" s="30"/>
      <c r="H14" s="24" t="s">
        <v>99</v>
      </c>
    </row>
    <row r="15" spans="1:29" ht="12.75">
      <c r="A15" s="32">
        <v>8</v>
      </c>
      <c r="B15" s="33">
        <v>46391</v>
      </c>
      <c r="C15" s="33">
        <v>46416</v>
      </c>
      <c r="D15" s="34">
        <f t="shared" si="0"/>
        <v>26</v>
      </c>
      <c r="E15" s="32">
        <v>20</v>
      </c>
      <c r="F15" s="35"/>
      <c r="G15" s="35"/>
      <c r="H15" s="36">
        <f>Bolsas_Empresa_cc15334.6[[#Totals],[Total]]-F16</f>
        <v>14000</v>
      </c>
    </row>
    <row r="16" spans="1:29" ht="12.75">
      <c r="A16" s="57" t="s">
        <v>11</v>
      </c>
      <c r="B16" s="56"/>
      <c r="C16" s="56"/>
      <c r="D16" s="30"/>
      <c r="E16" s="30">
        <f t="shared" ref="E16:F16" si="1">SUM(E8:E15)</f>
        <v>160</v>
      </c>
      <c r="F16" s="31">
        <f t="shared" si="1"/>
        <v>8400</v>
      </c>
    </row>
    <row r="19" spans="1:29" ht="12.75">
      <c r="A19" s="58" t="s">
        <v>100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</row>
    <row r="20" spans="1:29" ht="12.75">
      <c r="A20" s="37" t="s">
        <v>10</v>
      </c>
      <c r="B20" s="37" t="s">
        <v>93</v>
      </c>
      <c r="C20" s="37" t="s">
        <v>94</v>
      </c>
      <c r="D20" s="37" t="s">
        <v>95</v>
      </c>
      <c r="E20" s="37" t="s">
        <v>96</v>
      </c>
      <c r="F20" s="37" t="s">
        <v>97</v>
      </c>
      <c r="G20" s="27"/>
    </row>
    <row r="21" spans="1:29" ht="12.75">
      <c r="A21" s="27">
        <v>1</v>
      </c>
      <c r="B21" s="28">
        <v>46198</v>
      </c>
      <c r="C21" s="28">
        <v>46217</v>
      </c>
      <c r="D21" s="27">
        <f>C21-B21+1</f>
        <v>20</v>
      </c>
      <c r="E21" s="27">
        <v>20</v>
      </c>
      <c r="F21" s="29">
        <v>2800</v>
      </c>
      <c r="G21" s="30"/>
    </row>
    <row r="22" spans="1:29" ht="12.75">
      <c r="A22" s="27">
        <v>2</v>
      </c>
      <c r="B22" s="28">
        <v>46218</v>
      </c>
      <c r="C22" s="28">
        <f t="shared" ref="C22:C28" si="2">B22+D22</f>
        <v>46238</v>
      </c>
      <c r="D22" s="27">
        <v>20</v>
      </c>
      <c r="E22" s="27">
        <v>20</v>
      </c>
      <c r="F22" s="29">
        <v>2800</v>
      </c>
      <c r="G22" s="30"/>
    </row>
    <row r="23" spans="1:29" ht="12.75">
      <c r="A23" s="27">
        <v>3</v>
      </c>
      <c r="B23" s="38">
        <f t="shared" ref="B23:B28" si="3">C22+1</f>
        <v>46239</v>
      </c>
      <c r="C23" s="28">
        <f t="shared" si="2"/>
        <v>46269</v>
      </c>
      <c r="D23" s="27">
        <v>30</v>
      </c>
      <c r="E23" s="27">
        <v>20</v>
      </c>
      <c r="F23" s="29">
        <v>2800</v>
      </c>
      <c r="G23" s="30"/>
    </row>
    <row r="24" spans="1:29" ht="12.75">
      <c r="A24" s="27">
        <v>4</v>
      </c>
      <c r="B24" s="38">
        <f t="shared" si="3"/>
        <v>46270</v>
      </c>
      <c r="C24" s="28">
        <f t="shared" si="2"/>
        <v>46300</v>
      </c>
      <c r="D24" s="27">
        <v>30</v>
      </c>
      <c r="E24" s="27">
        <v>20</v>
      </c>
      <c r="F24" s="29">
        <v>2800</v>
      </c>
      <c r="G24" s="30"/>
    </row>
    <row r="25" spans="1:29" ht="12.75">
      <c r="A25" s="27">
        <v>5</v>
      </c>
      <c r="B25" s="38">
        <f t="shared" si="3"/>
        <v>46301</v>
      </c>
      <c r="C25" s="28">
        <f t="shared" si="2"/>
        <v>46331</v>
      </c>
      <c r="D25" s="27">
        <v>30</v>
      </c>
      <c r="E25" s="27">
        <v>20</v>
      </c>
      <c r="F25" s="29">
        <v>2800</v>
      </c>
      <c r="G25" s="30"/>
    </row>
    <row r="26" spans="1:29" ht="12.75">
      <c r="A26" s="27">
        <v>6</v>
      </c>
      <c r="B26" s="38">
        <f t="shared" si="3"/>
        <v>46332</v>
      </c>
      <c r="C26" s="28">
        <f t="shared" si="2"/>
        <v>46362</v>
      </c>
      <c r="D26" s="27">
        <v>30</v>
      </c>
      <c r="E26" s="27">
        <v>20</v>
      </c>
      <c r="F26" s="29">
        <v>2800</v>
      </c>
      <c r="G26" s="30"/>
    </row>
    <row r="27" spans="1:29" ht="12.75">
      <c r="A27" s="27">
        <v>7</v>
      </c>
      <c r="B27" s="38">
        <f t="shared" si="3"/>
        <v>46363</v>
      </c>
      <c r="C27" s="28">
        <f t="shared" si="2"/>
        <v>46393</v>
      </c>
      <c r="D27" s="27">
        <v>30</v>
      </c>
      <c r="E27" s="27">
        <v>20</v>
      </c>
      <c r="F27" s="29">
        <v>2800</v>
      </c>
      <c r="G27" s="30"/>
      <c r="H27" s="39" t="s">
        <v>99</v>
      </c>
    </row>
    <row r="28" spans="1:29" ht="12.75">
      <c r="A28" s="32">
        <v>8</v>
      </c>
      <c r="B28" s="40">
        <f t="shared" si="3"/>
        <v>46394</v>
      </c>
      <c r="C28" s="33">
        <f t="shared" si="2"/>
        <v>46424</v>
      </c>
      <c r="D28" s="32">
        <v>30</v>
      </c>
      <c r="E28" s="32">
        <v>20</v>
      </c>
      <c r="F28" s="41">
        <v>2800</v>
      </c>
      <c r="G28" s="30"/>
      <c r="H28" s="42">
        <f>Bolsas_Empresa_cc15334.6[[#Totals],[Total]]-F29</f>
        <v>0</v>
      </c>
    </row>
    <row r="29" spans="1:29" ht="12.75">
      <c r="A29" s="27" t="s">
        <v>11</v>
      </c>
      <c r="B29" s="30"/>
      <c r="C29" s="27"/>
      <c r="E29" s="30">
        <f t="shared" ref="E29:F29" si="4">SUM(E21:E28)</f>
        <v>160</v>
      </c>
      <c r="F29" s="31">
        <f t="shared" si="4"/>
        <v>22400</v>
      </c>
    </row>
  </sheetData>
  <mergeCells count="3">
    <mergeCell ref="A6:AC6"/>
    <mergeCell ref="A16:C16"/>
    <mergeCell ref="A19:AC19"/>
  </mergeCells>
  <dataValidations count="1">
    <dataValidation type="custom" allowBlank="1" showDropDown="1" sqref="K2" xr:uid="{00000000-0002-0000-0100-000000000000}">
      <formula1>AND(ISNUMBER(K2),(NOT(OR(NOT(ISERROR(DATEVALUE(K2))), AND(ISNUMBER(K2), LEFT(CELL("format", K2))="D")))))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4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.42578125" customWidth="1"/>
    <col min="2" max="2" width="17.140625" customWidth="1"/>
    <col min="3" max="3" width="12.42578125" customWidth="1"/>
    <col min="4" max="4" width="26.28515625" customWidth="1"/>
    <col min="5" max="5" width="24" customWidth="1"/>
    <col min="6" max="6" width="7.7109375" customWidth="1"/>
    <col min="7" max="7" width="11.140625" customWidth="1"/>
    <col min="8" max="8" width="15.85546875" customWidth="1"/>
    <col min="9" max="9" width="15.7109375" customWidth="1"/>
    <col min="10" max="10" width="11.85546875" customWidth="1"/>
    <col min="11" max="11" width="14.28515625" customWidth="1"/>
    <col min="12" max="12" width="12.85546875" customWidth="1"/>
  </cols>
  <sheetData>
    <row r="1" spans="1:12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2.5" customHeight="1">
      <c r="A2" s="1">
        <v>1</v>
      </c>
      <c r="B2" s="1" t="s">
        <v>21</v>
      </c>
      <c r="C2" s="1" t="s">
        <v>22</v>
      </c>
      <c r="D2" s="5" t="s">
        <v>23</v>
      </c>
      <c r="E2" s="5" t="s">
        <v>24</v>
      </c>
      <c r="F2" s="1" t="s">
        <v>25</v>
      </c>
      <c r="G2" s="6">
        <v>46174</v>
      </c>
      <c r="H2" s="6">
        <v>46446</v>
      </c>
      <c r="I2" s="1">
        <v>360</v>
      </c>
      <c r="J2" s="1">
        <v>3</v>
      </c>
      <c r="K2" s="7">
        <v>12000</v>
      </c>
      <c r="L2" s="8">
        <f t="shared" ref="L2:L13" si="0">J2*K2</f>
        <v>36000</v>
      </c>
    </row>
    <row r="3" spans="1:12" ht="22.5" customHeight="1">
      <c r="A3" s="1">
        <v>2</v>
      </c>
      <c r="B3" s="1" t="s">
        <v>43</v>
      </c>
      <c r="C3" s="1" t="s">
        <v>44</v>
      </c>
      <c r="D3" s="16" t="s">
        <v>45</v>
      </c>
      <c r="E3" s="5" t="s">
        <v>46</v>
      </c>
      <c r="F3" s="1" t="s">
        <v>25</v>
      </c>
      <c r="G3" s="6">
        <v>46198</v>
      </c>
      <c r="H3" s="6">
        <v>46446</v>
      </c>
      <c r="I3" s="1">
        <v>360</v>
      </c>
      <c r="J3" s="1">
        <v>3</v>
      </c>
      <c r="K3" s="7">
        <v>5000</v>
      </c>
      <c r="L3" s="8">
        <f t="shared" si="0"/>
        <v>15000</v>
      </c>
    </row>
    <row r="4" spans="1:12" ht="22.5" customHeight="1">
      <c r="A4" s="1">
        <v>3</v>
      </c>
      <c r="B4" s="1" t="s">
        <v>47</v>
      </c>
      <c r="C4" s="1" t="s">
        <v>44</v>
      </c>
      <c r="D4" s="16" t="s">
        <v>48</v>
      </c>
      <c r="E4" s="5" t="s">
        <v>49</v>
      </c>
      <c r="F4" s="1" t="s">
        <v>25</v>
      </c>
      <c r="G4" s="6">
        <v>46198</v>
      </c>
      <c r="H4" s="6">
        <v>46446</v>
      </c>
      <c r="I4" s="1">
        <v>360</v>
      </c>
      <c r="J4" s="1">
        <v>3</v>
      </c>
      <c r="K4" s="7">
        <v>2000</v>
      </c>
      <c r="L4" s="8">
        <f t="shared" si="0"/>
        <v>6000</v>
      </c>
    </row>
    <row r="5" spans="1:12" ht="22.5" customHeight="1">
      <c r="A5" s="1">
        <v>4</v>
      </c>
      <c r="B5" s="1" t="s">
        <v>50</v>
      </c>
      <c r="C5" s="1" t="s">
        <v>44</v>
      </c>
      <c r="D5" s="16" t="s">
        <v>51</v>
      </c>
      <c r="E5" s="5" t="s">
        <v>52</v>
      </c>
      <c r="F5" s="1" t="s">
        <v>25</v>
      </c>
      <c r="G5" s="6">
        <v>46198</v>
      </c>
      <c r="H5" s="6">
        <v>46446</v>
      </c>
      <c r="I5" s="1">
        <v>360</v>
      </c>
      <c r="J5" s="1">
        <v>2</v>
      </c>
      <c r="K5" s="7">
        <v>2000</v>
      </c>
      <c r="L5" s="8">
        <f t="shared" si="0"/>
        <v>4000</v>
      </c>
    </row>
    <row r="6" spans="1:12" ht="22.5" customHeight="1">
      <c r="A6" s="1">
        <v>5</v>
      </c>
      <c r="B6" s="1" t="s">
        <v>53</v>
      </c>
      <c r="C6" s="1" t="s">
        <v>44</v>
      </c>
      <c r="D6" s="16" t="s">
        <v>54</v>
      </c>
      <c r="E6" s="5" t="s">
        <v>55</v>
      </c>
      <c r="F6" s="1" t="s">
        <v>25</v>
      </c>
      <c r="G6" s="6">
        <v>46198</v>
      </c>
      <c r="H6" s="6">
        <v>46446</v>
      </c>
      <c r="I6" s="1">
        <v>360</v>
      </c>
      <c r="J6" s="1">
        <v>5</v>
      </c>
      <c r="K6" s="7">
        <v>2000</v>
      </c>
      <c r="L6" s="8">
        <f t="shared" si="0"/>
        <v>10000</v>
      </c>
    </row>
    <row r="7" spans="1:12" ht="22.5" customHeight="1">
      <c r="A7" s="1">
        <v>6</v>
      </c>
      <c r="B7" s="1" t="s">
        <v>56</v>
      </c>
      <c r="C7" s="1" t="s">
        <v>44</v>
      </c>
      <c r="D7" s="16" t="s">
        <v>57</v>
      </c>
      <c r="E7" s="5" t="s">
        <v>58</v>
      </c>
      <c r="F7" s="1" t="s">
        <v>25</v>
      </c>
      <c r="G7" s="6">
        <v>46198</v>
      </c>
      <c r="H7" s="6">
        <v>46446</v>
      </c>
      <c r="I7" s="1">
        <v>360</v>
      </c>
      <c r="J7" s="1">
        <v>1</v>
      </c>
      <c r="K7" s="7">
        <v>2000</v>
      </c>
      <c r="L7" s="8">
        <f t="shared" si="0"/>
        <v>2000</v>
      </c>
    </row>
    <row r="8" spans="1:12" ht="22.5" customHeight="1">
      <c r="A8" s="1">
        <v>7</v>
      </c>
      <c r="B8" s="1" t="s">
        <v>59</v>
      </c>
      <c r="C8" s="1" t="s">
        <v>60</v>
      </c>
      <c r="D8" s="16" t="s">
        <v>61</v>
      </c>
      <c r="E8" s="5" t="s">
        <v>62</v>
      </c>
      <c r="F8" s="1" t="s">
        <v>25</v>
      </c>
      <c r="G8" s="6">
        <v>46216</v>
      </c>
      <c r="H8" s="6">
        <v>46446</v>
      </c>
      <c r="I8" s="1">
        <v>360</v>
      </c>
      <c r="J8" s="1">
        <v>3</v>
      </c>
      <c r="K8" s="7">
        <v>7000</v>
      </c>
      <c r="L8" s="8">
        <f t="shared" si="0"/>
        <v>21000</v>
      </c>
    </row>
    <row r="9" spans="1:12" ht="22.5" customHeight="1">
      <c r="A9" s="1">
        <v>8</v>
      </c>
      <c r="B9" s="1" t="s">
        <v>66</v>
      </c>
      <c r="C9" s="1" t="s">
        <v>67</v>
      </c>
      <c r="D9" s="16" t="s">
        <v>68</v>
      </c>
      <c r="E9" s="5" t="s">
        <v>69</v>
      </c>
      <c r="F9" s="1" t="s">
        <v>25</v>
      </c>
      <c r="G9" s="6">
        <v>46223</v>
      </c>
      <c r="H9" s="6">
        <v>46446</v>
      </c>
      <c r="I9" s="1">
        <v>360</v>
      </c>
      <c r="J9" s="1">
        <v>3</v>
      </c>
      <c r="K9" s="7">
        <v>5000</v>
      </c>
      <c r="L9" s="8">
        <f t="shared" si="0"/>
        <v>15000</v>
      </c>
    </row>
    <row r="10" spans="1:12" ht="22.5" customHeight="1">
      <c r="A10" s="1">
        <v>9</v>
      </c>
      <c r="B10" s="1" t="s">
        <v>74</v>
      </c>
      <c r="C10" s="1" t="s">
        <v>75</v>
      </c>
      <c r="D10" s="16" t="s">
        <v>76</v>
      </c>
      <c r="E10" s="5" t="s">
        <v>77</v>
      </c>
      <c r="F10" s="1" t="s">
        <v>25</v>
      </c>
      <c r="G10" s="6">
        <v>46223</v>
      </c>
      <c r="H10" s="6">
        <v>46446</v>
      </c>
      <c r="I10" s="1">
        <v>320</v>
      </c>
      <c r="J10" s="1">
        <v>0</v>
      </c>
      <c r="K10" s="7">
        <v>2125</v>
      </c>
      <c r="L10" s="8">
        <f t="shared" si="0"/>
        <v>0</v>
      </c>
    </row>
    <row r="11" spans="1:12" ht="22.5" customHeight="1">
      <c r="A11" s="1">
        <v>10</v>
      </c>
      <c r="B11" s="1" t="s">
        <v>78</v>
      </c>
      <c r="C11" s="1" t="s">
        <v>75</v>
      </c>
      <c r="D11" s="16" t="s">
        <v>79</v>
      </c>
      <c r="E11" s="5" t="s">
        <v>80</v>
      </c>
      <c r="F11" s="1" t="s">
        <v>25</v>
      </c>
      <c r="G11" s="6">
        <v>46223</v>
      </c>
      <c r="H11" s="6">
        <v>46446</v>
      </c>
      <c r="I11" s="1">
        <v>360</v>
      </c>
      <c r="J11" s="1">
        <v>5</v>
      </c>
      <c r="K11" s="7">
        <v>2000</v>
      </c>
      <c r="L11" s="8">
        <f t="shared" si="0"/>
        <v>10000</v>
      </c>
    </row>
    <row r="12" spans="1:12" ht="22.5" customHeight="1">
      <c r="A12" s="1">
        <v>11</v>
      </c>
      <c r="B12" s="1" t="s">
        <v>81</v>
      </c>
      <c r="C12" s="1" t="s">
        <v>82</v>
      </c>
      <c r="D12" s="16" t="s">
        <v>83</v>
      </c>
      <c r="E12" s="5" t="s">
        <v>84</v>
      </c>
      <c r="F12" s="1" t="s">
        <v>25</v>
      </c>
      <c r="G12" s="6">
        <v>46230</v>
      </c>
      <c r="H12" s="6">
        <v>46446</v>
      </c>
      <c r="I12" s="1">
        <v>360</v>
      </c>
      <c r="J12" s="1">
        <v>3</v>
      </c>
      <c r="K12" s="7">
        <v>5000</v>
      </c>
      <c r="L12" s="8">
        <f t="shared" si="0"/>
        <v>15000</v>
      </c>
    </row>
    <row r="13" spans="1:12" ht="22.5" customHeight="1">
      <c r="A13" s="1">
        <v>12</v>
      </c>
      <c r="B13" s="1" t="s">
        <v>87</v>
      </c>
      <c r="C13" s="1" t="s">
        <v>82</v>
      </c>
      <c r="D13" s="16" t="s">
        <v>88</v>
      </c>
      <c r="E13" s="16" t="s">
        <v>89</v>
      </c>
      <c r="F13" s="1" t="s">
        <v>25</v>
      </c>
      <c r="G13" s="6">
        <v>46230</v>
      </c>
      <c r="H13" s="6">
        <v>46446</v>
      </c>
      <c r="I13" s="1">
        <v>360</v>
      </c>
      <c r="J13" s="1">
        <v>3</v>
      </c>
      <c r="K13" s="7">
        <v>5000</v>
      </c>
      <c r="L13" s="8">
        <f t="shared" si="0"/>
        <v>15000</v>
      </c>
    </row>
    <row r="14" spans="1:12" ht="22.5" customHeight="1">
      <c r="A14" s="1"/>
      <c r="B14" s="1"/>
      <c r="C14" s="1"/>
      <c r="D14" s="18"/>
      <c r="E14" s="18"/>
      <c r="F14" s="18"/>
      <c r="G14" s="1"/>
      <c r="H14" s="1"/>
      <c r="I14" s="1"/>
      <c r="J14" s="20" t="s">
        <v>91</v>
      </c>
      <c r="K14" s="7">
        <f>SUM(Bolsas_Sebrae_cc15335.4[Parcela])</f>
        <v>51125</v>
      </c>
      <c r="L14" s="7">
        <f>SUM(Bolsas_Sebrae_cc15335.4[Total])</f>
        <v>149000</v>
      </c>
    </row>
  </sheetData>
  <dataValidations count="1">
    <dataValidation type="custom" allowBlank="1" showDropDown="1" sqref="K2:K13" xr:uid="{00000000-0002-0000-0200-000000000000}">
      <formula1>AND(ISNUMBER(K2),(NOT(OR(NOT(ISERROR(DATEVALUE(K2))), AND(ISNUMBER(K2), LEFT(CELL("format", K2))="D")))))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2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.42578125" customWidth="1"/>
    <col min="2" max="2" width="17.140625" customWidth="1"/>
    <col min="3" max="3" width="12.42578125" customWidth="1"/>
    <col min="4" max="4" width="26.42578125" customWidth="1"/>
    <col min="5" max="5" width="24.140625" customWidth="1"/>
    <col min="6" max="6" width="7.85546875" customWidth="1"/>
    <col min="7" max="7" width="11.140625" customWidth="1"/>
    <col min="8" max="8" width="15.85546875" customWidth="1"/>
    <col min="9" max="9" width="15.7109375" customWidth="1"/>
    <col min="10" max="10" width="12" customWidth="1"/>
    <col min="11" max="11" width="14.42578125" customWidth="1"/>
    <col min="12" max="12" width="12.85546875" customWidth="1"/>
  </cols>
  <sheetData>
    <row r="1" spans="1:12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2.5" customHeight="1">
      <c r="A2" s="1">
        <v>1</v>
      </c>
      <c r="B2" s="1" t="s">
        <v>21</v>
      </c>
      <c r="C2" s="1" t="s">
        <v>22</v>
      </c>
      <c r="D2" s="5" t="s">
        <v>23</v>
      </c>
      <c r="E2" s="5" t="s">
        <v>24</v>
      </c>
      <c r="F2" s="1" t="s">
        <v>25</v>
      </c>
      <c r="G2" s="6">
        <v>46174</v>
      </c>
      <c r="H2" s="6">
        <v>46446</v>
      </c>
      <c r="I2" s="1">
        <v>360</v>
      </c>
      <c r="J2" s="1">
        <v>6</v>
      </c>
      <c r="K2" s="7">
        <v>12000</v>
      </c>
      <c r="L2" s="8">
        <f t="shared" ref="L2:L13" si="0">J2*K2</f>
        <v>72000</v>
      </c>
    </row>
    <row r="3" spans="1:12" ht="22.5" customHeight="1">
      <c r="A3" s="1">
        <v>2</v>
      </c>
      <c r="B3" s="1" t="s">
        <v>43</v>
      </c>
      <c r="C3" s="1" t="s">
        <v>44</v>
      </c>
      <c r="D3" s="16" t="s">
        <v>45</v>
      </c>
      <c r="E3" s="5" t="s">
        <v>46</v>
      </c>
      <c r="F3" s="1" t="s">
        <v>25</v>
      </c>
      <c r="G3" s="6">
        <v>46198</v>
      </c>
      <c r="H3" s="6">
        <v>46446</v>
      </c>
      <c r="I3" s="1">
        <v>360</v>
      </c>
      <c r="J3" s="1">
        <v>6</v>
      </c>
      <c r="K3" s="7">
        <v>5000</v>
      </c>
      <c r="L3" s="8">
        <f t="shared" si="0"/>
        <v>30000</v>
      </c>
    </row>
    <row r="4" spans="1:12" ht="22.5" customHeight="1">
      <c r="A4" s="1">
        <v>3</v>
      </c>
      <c r="B4" s="1" t="s">
        <v>47</v>
      </c>
      <c r="C4" s="1" t="s">
        <v>44</v>
      </c>
      <c r="D4" s="16" t="s">
        <v>48</v>
      </c>
      <c r="E4" s="5" t="s">
        <v>49</v>
      </c>
      <c r="F4" s="1" t="s">
        <v>25</v>
      </c>
      <c r="G4" s="6">
        <v>46198</v>
      </c>
      <c r="H4" s="6">
        <v>46446</v>
      </c>
      <c r="I4" s="1">
        <v>360</v>
      </c>
      <c r="J4" s="1">
        <v>6</v>
      </c>
      <c r="K4" s="7">
        <v>2000</v>
      </c>
      <c r="L4" s="8">
        <f t="shared" si="0"/>
        <v>12000</v>
      </c>
    </row>
    <row r="5" spans="1:12" ht="22.5" customHeight="1">
      <c r="A5" s="1">
        <v>4</v>
      </c>
      <c r="B5" s="1" t="s">
        <v>50</v>
      </c>
      <c r="C5" s="1" t="s">
        <v>44</v>
      </c>
      <c r="D5" s="16" t="s">
        <v>51</v>
      </c>
      <c r="E5" s="5" t="s">
        <v>52</v>
      </c>
      <c r="F5" s="1" t="s">
        <v>25</v>
      </c>
      <c r="G5" s="6">
        <v>46198</v>
      </c>
      <c r="H5" s="6">
        <v>46446</v>
      </c>
      <c r="I5" s="1">
        <v>360</v>
      </c>
      <c r="J5" s="1">
        <v>7</v>
      </c>
      <c r="K5" s="7">
        <v>2000</v>
      </c>
      <c r="L5" s="8">
        <f t="shared" si="0"/>
        <v>14000</v>
      </c>
    </row>
    <row r="6" spans="1:12" ht="22.5" customHeight="1">
      <c r="A6" s="1">
        <v>5</v>
      </c>
      <c r="B6" s="1" t="s">
        <v>53</v>
      </c>
      <c r="C6" s="1" t="s">
        <v>44</v>
      </c>
      <c r="D6" s="16" t="s">
        <v>54</v>
      </c>
      <c r="E6" s="5" t="s">
        <v>55</v>
      </c>
      <c r="F6" s="1" t="s">
        <v>25</v>
      </c>
      <c r="G6" s="6">
        <v>46198</v>
      </c>
      <c r="H6" s="6">
        <v>46446</v>
      </c>
      <c r="I6" s="1">
        <v>360</v>
      </c>
      <c r="J6" s="1">
        <v>4</v>
      </c>
      <c r="K6" s="7">
        <v>2000</v>
      </c>
      <c r="L6" s="8">
        <f t="shared" si="0"/>
        <v>8000</v>
      </c>
    </row>
    <row r="7" spans="1:12" ht="22.5" customHeight="1">
      <c r="A7" s="1">
        <v>6</v>
      </c>
      <c r="B7" s="1" t="s">
        <v>56</v>
      </c>
      <c r="C7" s="1" t="s">
        <v>44</v>
      </c>
      <c r="D7" s="16" t="s">
        <v>57</v>
      </c>
      <c r="E7" s="5" t="s">
        <v>58</v>
      </c>
      <c r="F7" s="1" t="s">
        <v>25</v>
      </c>
      <c r="G7" s="6">
        <v>46198</v>
      </c>
      <c r="H7" s="6">
        <v>46446</v>
      </c>
      <c r="I7" s="1">
        <v>360</v>
      </c>
      <c r="J7" s="1">
        <v>8</v>
      </c>
      <c r="K7" s="7">
        <v>2000</v>
      </c>
      <c r="L7" s="8">
        <f t="shared" si="0"/>
        <v>16000</v>
      </c>
    </row>
    <row r="8" spans="1:12" ht="22.5" customHeight="1">
      <c r="A8" s="1">
        <v>7</v>
      </c>
      <c r="B8" s="1" t="s">
        <v>59</v>
      </c>
      <c r="C8" s="1" t="s">
        <v>60</v>
      </c>
      <c r="D8" s="16" t="s">
        <v>61</v>
      </c>
      <c r="E8" s="5" t="s">
        <v>62</v>
      </c>
      <c r="F8" s="1" t="s">
        <v>25</v>
      </c>
      <c r="G8" s="6">
        <v>46216</v>
      </c>
      <c r="H8" s="6">
        <v>46446</v>
      </c>
      <c r="I8" s="1">
        <v>360</v>
      </c>
      <c r="J8" s="1">
        <v>6</v>
      </c>
      <c r="K8" s="7">
        <v>7000</v>
      </c>
      <c r="L8" s="8">
        <f t="shared" si="0"/>
        <v>42000</v>
      </c>
    </row>
    <row r="9" spans="1:12" ht="22.5" customHeight="1">
      <c r="A9" s="1">
        <v>8</v>
      </c>
      <c r="B9" s="1" t="s">
        <v>66</v>
      </c>
      <c r="C9" s="1" t="s">
        <v>67</v>
      </c>
      <c r="D9" s="16" t="s">
        <v>68</v>
      </c>
      <c r="E9" s="5" t="s">
        <v>69</v>
      </c>
      <c r="F9" s="1" t="s">
        <v>25</v>
      </c>
      <c r="G9" s="6">
        <v>46223</v>
      </c>
      <c r="H9" s="6">
        <v>46446</v>
      </c>
      <c r="I9" s="1">
        <v>360</v>
      </c>
      <c r="J9" s="1">
        <v>6</v>
      </c>
      <c r="K9" s="7">
        <v>5000</v>
      </c>
      <c r="L9" s="8">
        <f t="shared" si="0"/>
        <v>30000</v>
      </c>
    </row>
    <row r="10" spans="1:12" ht="22.5" customHeight="1">
      <c r="A10" s="1">
        <v>9</v>
      </c>
      <c r="B10" s="1" t="s">
        <v>74</v>
      </c>
      <c r="C10" s="1" t="s">
        <v>75</v>
      </c>
      <c r="D10" s="16" t="s">
        <v>76</v>
      </c>
      <c r="E10" s="5" t="s">
        <v>77</v>
      </c>
      <c r="F10" s="1" t="s">
        <v>25</v>
      </c>
      <c r="G10" s="6">
        <v>46223</v>
      </c>
      <c r="H10" s="6">
        <v>46446</v>
      </c>
      <c r="I10" s="1">
        <v>320</v>
      </c>
      <c r="J10" s="1">
        <v>8</v>
      </c>
      <c r="K10" s="7">
        <v>2125</v>
      </c>
      <c r="L10" s="8">
        <f t="shared" si="0"/>
        <v>17000</v>
      </c>
    </row>
    <row r="11" spans="1:12" ht="22.5" customHeight="1">
      <c r="A11" s="1">
        <v>10</v>
      </c>
      <c r="B11" s="1" t="s">
        <v>78</v>
      </c>
      <c r="C11" s="1" t="s">
        <v>75</v>
      </c>
      <c r="D11" s="16" t="s">
        <v>79</v>
      </c>
      <c r="E11" s="5" t="s">
        <v>80</v>
      </c>
      <c r="F11" s="1" t="s">
        <v>25</v>
      </c>
      <c r="G11" s="6">
        <v>46223</v>
      </c>
      <c r="H11" s="6">
        <v>46446</v>
      </c>
      <c r="I11" s="1">
        <v>360</v>
      </c>
      <c r="J11" s="1">
        <v>4</v>
      </c>
      <c r="K11" s="7">
        <v>2000</v>
      </c>
      <c r="L11" s="8">
        <f t="shared" si="0"/>
        <v>8000</v>
      </c>
    </row>
    <row r="12" spans="1:12" ht="22.5" customHeight="1">
      <c r="A12" s="1">
        <v>11</v>
      </c>
      <c r="B12" s="1" t="s">
        <v>81</v>
      </c>
      <c r="C12" s="1" t="s">
        <v>82</v>
      </c>
      <c r="D12" s="16" t="s">
        <v>83</v>
      </c>
      <c r="E12" s="5" t="s">
        <v>84</v>
      </c>
      <c r="F12" s="1" t="s">
        <v>25</v>
      </c>
      <c r="G12" s="6">
        <v>46230</v>
      </c>
      <c r="H12" s="6">
        <v>46446</v>
      </c>
      <c r="I12" s="1">
        <v>360</v>
      </c>
      <c r="J12" s="1">
        <v>6</v>
      </c>
      <c r="K12" s="7">
        <v>5000</v>
      </c>
      <c r="L12" s="8">
        <f t="shared" si="0"/>
        <v>30000</v>
      </c>
    </row>
    <row r="13" spans="1:12" ht="22.5" customHeight="1">
      <c r="A13" s="1">
        <v>12</v>
      </c>
      <c r="B13" s="1" t="s">
        <v>87</v>
      </c>
      <c r="C13" s="1" t="s">
        <v>82</v>
      </c>
      <c r="D13" s="16" t="s">
        <v>88</v>
      </c>
      <c r="E13" s="16" t="s">
        <v>89</v>
      </c>
      <c r="F13" s="16" t="s">
        <v>25</v>
      </c>
      <c r="G13" s="6">
        <v>46230</v>
      </c>
      <c r="H13" s="6">
        <v>46446</v>
      </c>
      <c r="I13" s="1">
        <v>360</v>
      </c>
      <c r="J13" s="1">
        <v>6</v>
      </c>
      <c r="K13" s="7">
        <v>5000</v>
      </c>
      <c r="L13" s="8">
        <f t="shared" si="0"/>
        <v>30000</v>
      </c>
    </row>
    <row r="14" spans="1:12" ht="22.5" customHeight="1">
      <c r="A14" s="18"/>
      <c r="B14" s="18"/>
      <c r="C14" s="18"/>
      <c r="D14" s="18"/>
      <c r="E14" s="18"/>
      <c r="F14" s="18"/>
      <c r="G14" s="18"/>
      <c r="H14" s="18"/>
      <c r="I14" s="18"/>
      <c r="J14" s="20" t="s">
        <v>91</v>
      </c>
      <c r="K14" s="21">
        <f>SUM(Bolsas_Embrapii_cc15338.9[Parcela])</f>
        <v>51125</v>
      </c>
      <c r="L14" s="21">
        <f>SUM(Bolsas_Embrapii_cc15338.9[Total])</f>
        <v>309000</v>
      </c>
    </row>
    <row r="15" spans="1:12" ht="12.75">
      <c r="A15" s="43"/>
      <c r="B15" s="43"/>
      <c r="C15" s="43"/>
      <c r="D15" s="43"/>
      <c r="E15" s="43"/>
      <c r="F15" s="43"/>
      <c r="G15" s="43"/>
      <c r="H15" s="43"/>
      <c r="I15" s="43"/>
      <c r="J15" s="43"/>
    </row>
    <row r="16" spans="1:12" ht="12.75">
      <c r="A16" s="43"/>
      <c r="B16" s="43"/>
      <c r="C16" s="43"/>
      <c r="D16" s="43"/>
      <c r="E16" s="43"/>
      <c r="F16" s="43"/>
      <c r="G16" s="43"/>
      <c r="H16" s="43"/>
      <c r="I16" s="43"/>
      <c r="J16" s="43"/>
    </row>
    <row r="17" spans="1:12" ht="12.75">
      <c r="A17" s="43"/>
      <c r="B17" s="43"/>
      <c r="C17" s="43"/>
      <c r="D17" s="43"/>
      <c r="E17" s="43"/>
      <c r="F17" s="43"/>
      <c r="G17" s="43"/>
      <c r="H17" s="43"/>
      <c r="I17" s="43"/>
      <c r="J17" s="43"/>
    </row>
    <row r="18" spans="1:12" ht="12.75">
      <c r="A18" s="43"/>
      <c r="B18" s="43"/>
      <c r="C18" s="43"/>
      <c r="D18" s="43"/>
      <c r="E18" s="43"/>
      <c r="F18" s="43"/>
      <c r="G18" s="43"/>
      <c r="H18" s="43"/>
      <c r="I18" s="43"/>
      <c r="J18" s="43"/>
    </row>
    <row r="19" spans="1:12" ht="12.75">
      <c r="A19" s="43"/>
      <c r="B19" s="43"/>
      <c r="C19" s="43"/>
      <c r="D19" s="43"/>
      <c r="E19" s="43"/>
      <c r="F19" s="43"/>
      <c r="G19" s="43"/>
      <c r="H19" s="43"/>
      <c r="I19" s="43"/>
      <c r="J19" s="43"/>
    </row>
    <row r="20" spans="1:12" ht="12.7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spans="1:12" ht="12.7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ht="12.7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</row>
    <row r="23" spans="1:12" ht="12.7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1:12" ht="12.7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</row>
    <row r="25" spans="1:12" ht="12.7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</row>
    <row r="26" spans="1:12" ht="12.7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</row>
    <row r="27" spans="1:12" ht="12.7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</row>
    <row r="28" spans="1:12" ht="12.7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</row>
    <row r="29" spans="1:12" ht="12.7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</row>
    <row r="30" spans="1:12" ht="12.7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</row>
    <row r="31" spans="1:12" ht="12.7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</row>
    <row r="32" spans="1:12" ht="12.7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</row>
    <row r="33" spans="1:12" ht="12.7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</row>
    <row r="34" spans="1:12" ht="12.7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  <row r="35" spans="1:12" ht="12.7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</row>
    <row r="36" spans="1:12" ht="12.7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</row>
    <row r="37" spans="1:12" ht="12.7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</row>
    <row r="38" spans="1:12" ht="12.7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</row>
    <row r="39" spans="1:12" ht="12.7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</row>
    <row r="40" spans="1:12" ht="12.7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</row>
    <row r="41" spans="1:12" ht="12.7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2" ht="12.7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2" ht="12.7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2" ht="12.7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2" ht="12.7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2" ht="12.7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</row>
    <row r="47" spans="1:12" ht="12.7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</row>
    <row r="48" spans="1:12" ht="12.7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</row>
    <row r="49" spans="1:12" ht="12.7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</row>
    <row r="50" spans="1:12" ht="12.7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</row>
    <row r="51" spans="1:12" ht="12.7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</row>
    <row r="52" spans="1:12" ht="12.7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</row>
    <row r="53" spans="1:12" ht="12.7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</row>
    <row r="54" spans="1:12" ht="12.7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</row>
    <row r="55" spans="1:12" ht="12.7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</row>
    <row r="56" spans="1:12" ht="12.7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</row>
    <row r="57" spans="1:12" ht="12.7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</row>
    <row r="58" spans="1:12" ht="12.7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</row>
    <row r="59" spans="1:12" ht="12.7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</row>
    <row r="60" spans="1:12" ht="12.7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</row>
    <row r="61" spans="1:12" ht="12.7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</row>
    <row r="62" spans="1:12" ht="12.7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</row>
    <row r="63" spans="1:12" ht="12.7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</row>
    <row r="64" spans="1:12" ht="12.7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</row>
    <row r="65" spans="1:12" ht="12.7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</row>
    <row r="66" spans="1:12" ht="12.7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</row>
    <row r="67" spans="1:12" ht="12.7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</row>
    <row r="68" spans="1:12" ht="12.7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</row>
    <row r="69" spans="1:12" ht="12.7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</row>
    <row r="70" spans="1:12" ht="12.7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</row>
    <row r="71" spans="1:12" ht="12.7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</row>
    <row r="72" spans="1:12" ht="12.7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</row>
    <row r="73" spans="1:12" ht="12.7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</row>
    <row r="74" spans="1:12" ht="12.7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</row>
    <row r="75" spans="1:12" ht="12.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</row>
    <row r="76" spans="1:12" ht="12.7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</row>
    <row r="77" spans="1:12" ht="12.7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</row>
    <row r="78" spans="1:12" ht="12.7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</row>
    <row r="79" spans="1:12" ht="12.7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</row>
    <row r="80" spans="1:12" ht="12.7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</row>
    <row r="81" spans="1:12" ht="12.7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</row>
    <row r="82" spans="1:12" ht="12.7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</row>
    <row r="83" spans="1:12" ht="12.7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</row>
    <row r="84" spans="1:12" ht="12.7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</row>
    <row r="85" spans="1:12" ht="12.7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</row>
    <row r="86" spans="1:12" ht="12.7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</row>
    <row r="87" spans="1:12" ht="12.7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</row>
    <row r="88" spans="1:12" ht="12.7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</row>
    <row r="89" spans="1:12" ht="12.7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</row>
    <row r="90" spans="1:12" ht="12.7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</row>
    <row r="91" spans="1:12" ht="12.7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</row>
    <row r="92" spans="1:12" ht="12.7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</row>
    <row r="93" spans="1:12" ht="12.7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</row>
    <row r="94" spans="1:12" ht="12.7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</row>
    <row r="95" spans="1:12" ht="12.7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</row>
    <row r="96" spans="1:12" ht="12.7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</row>
    <row r="97" spans="1:12" ht="12.7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</row>
    <row r="98" spans="1:12" ht="12.7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</row>
    <row r="99" spans="1:12" ht="12.7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</row>
    <row r="100" spans="1:12" ht="12.7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</row>
    <row r="101" spans="1:12" ht="12.7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</row>
    <row r="102" spans="1:12" ht="12.7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</row>
    <row r="103" spans="1:12" ht="12.7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</row>
    <row r="104" spans="1:12" ht="12.7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</row>
    <row r="105" spans="1:12" ht="12.7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</row>
    <row r="106" spans="1:12" ht="12.7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</row>
    <row r="107" spans="1:12" ht="12.7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</row>
    <row r="108" spans="1:12" ht="12.7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</row>
    <row r="109" spans="1:12" ht="12.7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</row>
    <row r="110" spans="1:12" ht="12.7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</row>
    <row r="111" spans="1:12" ht="12.7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</row>
    <row r="112" spans="1:12" ht="12.7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 spans="1:12" ht="12.7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</row>
    <row r="114" spans="1:12" ht="12.7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 spans="1:12" ht="12.7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</row>
    <row r="116" spans="1:12" ht="12.7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</row>
    <row r="117" spans="1:12" ht="12.7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</row>
    <row r="118" spans="1:12" ht="12.7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</row>
    <row r="119" spans="1:12" ht="12.7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</row>
    <row r="120" spans="1:12" ht="12.7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</row>
    <row r="121" spans="1:12" ht="12.7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</row>
    <row r="122" spans="1:12" ht="12.7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</row>
    <row r="123" spans="1:12" ht="12.7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</row>
    <row r="124" spans="1:12" ht="12.7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</row>
    <row r="125" spans="1:12" ht="12.7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</row>
    <row r="126" spans="1:12" ht="12.7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</row>
    <row r="127" spans="1:12" ht="12.7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</row>
    <row r="128" spans="1:12" ht="12.7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</row>
    <row r="129" spans="1:12" ht="12.7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</row>
    <row r="130" spans="1:12" ht="12.7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</row>
    <row r="131" spans="1:12" ht="12.7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</row>
    <row r="132" spans="1:12" ht="12.7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</row>
    <row r="133" spans="1:12" ht="12.7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</row>
    <row r="134" spans="1:12" ht="12.7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</row>
    <row r="135" spans="1:12" ht="12.7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</row>
    <row r="136" spans="1:12" ht="12.7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</row>
    <row r="137" spans="1:12" ht="12.7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</row>
    <row r="138" spans="1:12" ht="12.7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</row>
    <row r="139" spans="1:12" ht="12.7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</row>
    <row r="140" spans="1:12" ht="12.7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</row>
    <row r="141" spans="1:12" ht="12.7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</row>
    <row r="142" spans="1:12" ht="12.7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</row>
    <row r="143" spans="1:12" ht="12.7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</row>
    <row r="144" spans="1:12" ht="12.7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</row>
    <row r="145" spans="1:12" ht="12.7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</row>
    <row r="146" spans="1:12" ht="12.7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</row>
    <row r="147" spans="1:12" ht="12.7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</row>
    <row r="148" spans="1:12" ht="12.7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</row>
    <row r="149" spans="1:12" ht="12.7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</row>
    <row r="150" spans="1:12" ht="12.7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</row>
    <row r="151" spans="1:12" ht="12.7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</row>
    <row r="152" spans="1:12" ht="12.7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</row>
    <row r="153" spans="1:12" ht="12.7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</row>
    <row r="154" spans="1:12" ht="12.7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</row>
    <row r="155" spans="1:12" ht="12.7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</row>
    <row r="156" spans="1:12" ht="12.7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</row>
    <row r="157" spans="1:12" ht="12.7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</row>
    <row r="158" spans="1:12" ht="12.7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</row>
    <row r="159" spans="1:12" ht="12.7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</row>
    <row r="160" spans="1:12" ht="12.7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</row>
    <row r="161" spans="1:12" ht="12.7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</row>
    <row r="162" spans="1:12" ht="12.7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</row>
    <row r="163" spans="1:12" ht="12.7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</row>
    <row r="164" spans="1:12" ht="12.7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</row>
    <row r="165" spans="1:12" ht="12.7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</row>
    <row r="166" spans="1:12" ht="12.7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</row>
    <row r="167" spans="1:12" ht="12.7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</row>
    <row r="168" spans="1:12" ht="12.7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</row>
    <row r="169" spans="1:12" ht="12.7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</row>
    <row r="170" spans="1:12" ht="12.7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</row>
    <row r="171" spans="1:12" ht="12.7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</row>
    <row r="172" spans="1:12" ht="12.7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</row>
    <row r="173" spans="1:12" ht="12.7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</row>
    <row r="174" spans="1:12" ht="12.7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</row>
    <row r="175" spans="1:12" ht="12.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</row>
    <row r="176" spans="1:12" ht="12.7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</row>
    <row r="177" spans="1:12" ht="12.7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</row>
    <row r="178" spans="1:12" ht="12.7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</row>
    <row r="179" spans="1:12" ht="12.7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</row>
    <row r="180" spans="1:12" ht="12.7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</row>
    <row r="181" spans="1:12" ht="12.7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</row>
    <row r="182" spans="1:12" ht="12.7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</row>
    <row r="183" spans="1:12" ht="12.7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</row>
    <row r="184" spans="1:12" ht="12.7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</row>
    <row r="185" spans="1:12" ht="12.7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</row>
    <row r="186" spans="1:12" ht="12.7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</row>
    <row r="187" spans="1:12" ht="12.7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</row>
    <row r="188" spans="1:12" ht="12.7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</row>
    <row r="189" spans="1:12" ht="12.7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</row>
    <row r="190" spans="1:12" ht="12.7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</row>
    <row r="191" spans="1:12" ht="12.7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</row>
    <row r="192" spans="1:12" ht="12.7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</row>
    <row r="193" spans="1:12" ht="12.7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</row>
    <row r="194" spans="1:12" ht="12.7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</row>
    <row r="195" spans="1:12" ht="12.7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</row>
    <row r="196" spans="1:12" ht="12.7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</row>
    <row r="197" spans="1:12" ht="12.7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</row>
    <row r="198" spans="1:12" ht="12.7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</row>
    <row r="199" spans="1:12" ht="12.7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</row>
    <row r="200" spans="1:12" ht="12.7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</row>
    <row r="201" spans="1:12" ht="12.7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</row>
    <row r="202" spans="1:12" ht="12.7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</row>
    <row r="203" spans="1:12" ht="12.7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</row>
    <row r="204" spans="1:12" ht="12.7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</row>
    <row r="205" spans="1:12" ht="12.7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</row>
    <row r="206" spans="1:12" ht="12.7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</row>
    <row r="207" spans="1:12" ht="12.7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</row>
    <row r="208" spans="1:12" ht="12.7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</row>
    <row r="209" spans="1:12" ht="12.7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</row>
    <row r="210" spans="1:12" ht="12.7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</row>
    <row r="211" spans="1:12" ht="12.7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</row>
    <row r="212" spans="1:12" ht="12.7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</row>
    <row r="213" spans="1:12" ht="12.7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</row>
    <row r="214" spans="1:12" ht="12.7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</row>
    <row r="215" spans="1:12" ht="12.7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</row>
    <row r="216" spans="1:12" ht="12.7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</row>
    <row r="217" spans="1:12" ht="12.7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</row>
    <row r="218" spans="1:12" ht="12.7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</row>
    <row r="219" spans="1:12" ht="12.7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</row>
    <row r="220" spans="1:12" ht="12.7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</row>
    <row r="221" spans="1:12" ht="12.7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</row>
    <row r="222" spans="1:12" ht="12.7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</row>
    <row r="223" spans="1:12" ht="12.7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</row>
    <row r="224" spans="1:12" ht="12.7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</row>
    <row r="225" spans="1:12" ht="12.7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</row>
    <row r="226" spans="1:12" ht="12.7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</row>
    <row r="227" spans="1:12" ht="12.7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</row>
    <row r="228" spans="1:12" ht="12.7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</row>
    <row r="229" spans="1:12" ht="12.7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</row>
    <row r="230" spans="1:12" ht="12.7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</row>
    <row r="231" spans="1:12" ht="12.7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</row>
    <row r="232" spans="1:12" ht="12.7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</row>
    <row r="233" spans="1:12" ht="12.7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</row>
    <row r="234" spans="1:12" ht="12.7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</row>
    <row r="235" spans="1:12" ht="12.7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</row>
    <row r="236" spans="1:12" ht="12.7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</row>
    <row r="237" spans="1:12" ht="12.7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</row>
    <row r="238" spans="1:12" ht="12.7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</row>
    <row r="239" spans="1:12" ht="12.7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</row>
    <row r="240" spans="1:12" ht="12.7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</row>
    <row r="241" spans="1:12" ht="12.7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</row>
    <row r="242" spans="1:12" ht="12.7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</row>
    <row r="243" spans="1:12" ht="12.7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</row>
    <row r="244" spans="1:12" ht="12.7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</row>
    <row r="245" spans="1:12" ht="12.7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</row>
    <row r="246" spans="1:12" ht="12.7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</row>
    <row r="247" spans="1:12" ht="12.7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</row>
    <row r="248" spans="1:12" ht="12.7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</row>
    <row r="249" spans="1:12" ht="12.7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</row>
    <row r="250" spans="1:12" ht="12.7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</row>
    <row r="251" spans="1:12" ht="12.7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</row>
    <row r="252" spans="1:12" ht="12.7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</row>
    <row r="253" spans="1:12" ht="12.7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</row>
    <row r="254" spans="1:12" ht="12.7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</row>
    <row r="255" spans="1:12" ht="12.7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</row>
    <row r="256" spans="1:12" ht="12.7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</row>
    <row r="257" spans="1:12" ht="12.7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</row>
    <row r="258" spans="1:12" ht="12.7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</row>
    <row r="259" spans="1:12" ht="12.7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</row>
    <row r="260" spans="1:12" ht="12.7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</row>
    <row r="261" spans="1:12" ht="12.7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</row>
    <row r="262" spans="1:12" ht="12.7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</row>
    <row r="263" spans="1:12" ht="12.7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</row>
    <row r="264" spans="1:12" ht="12.7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</row>
    <row r="265" spans="1:12" ht="12.7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</row>
    <row r="266" spans="1:12" ht="12.7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</row>
    <row r="267" spans="1:12" ht="12.7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</row>
    <row r="268" spans="1:12" ht="12.7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</row>
    <row r="269" spans="1:12" ht="12.7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</row>
    <row r="270" spans="1:12" ht="12.7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</row>
    <row r="271" spans="1:12" ht="12.7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</row>
    <row r="272" spans="1:12" ht="12.7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</row>
    <row r="273" spans="1:12" ht="12.7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</row>
    <row r="274" spans="1:12" ht="12.7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</row>
    <row r="275" spans="1:12" ht="12.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</row>
    <row r="276" spans="1:12" ht="12.7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</row>
    <row r="277" spans="1:12" ht="12.7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</row>
    <row r="278" spans="1:12" ht="12.7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</row>
    <row r="279" spans="1:12" ht="12.7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</row>
    <row r="280" spans="1:12" ht="12.7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</row>
    <row r="281" spans="1:12" ht="12.7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</row>
    <row r="282" spans="1:12" ht="12.7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</row>
    <row r="283" spans="1:12" ht="12.7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</row>
    <row r="284" spans="1:12" ht="12.7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</row>
    <row r="285" spans="1:12" ht="12.7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</row>
    <row r="286" spans="1:12" ht="12.7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</row>
    <row r="287" spans="1:12" ht="12.7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</row>
    <row r="288" spans="1:12" ht="12.7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</row>
    <row r="289" spans="1:12" ht="12.7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</row>
    <row r="290" spans="1:12" ht="12.7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</row>
    <row r="291" spans="1:12" ht="12.7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</row>
    <row r="292" spans="1:12" ht="12.7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</row>
    <row r="293" spans="1:12" ht="12.7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</row>
    <row r="294" spans="1:12" ht="12.7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</row>
    <row r="295" spans="1:12" ht="12.7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</row>
    <row r="296" spans="1:12" ht="12.7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</row>
    <row r="297" spans="1:12" ht="12.7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</row>
    <row r="298" spans="1:12" ht="12.7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</row>
    <row r="299" spans="1:12" ht="12.7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</row>
    <row r="300" spans="1:12" ht="12.7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</row>
    <row r="301" spans="1:12" ht="12.7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</row>
    <row r="302" spans="1:12" ht="12.7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</row>
    <row r="303" spans="1:12" ht="12.7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</row>
    <row r="304" spans="1:12" ht="12.7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</row>
    <row r="305" spans="1:12" ht="12.7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</row>
    <row r="306" spans="1:12" ht="12.7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</row>
    <row r="307" spans="1:12" ht="12.7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</row>
    <row r="308" spans="1:12" ht="12.7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</row>
    <row r="309" spans="1:12" ht="12.7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</row>
    <row r="310" spans="1:12" ht="12.7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</row>
    <row r="311" spans="1:12" ht="12.7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</row>
    <row r="312" spans="1:12" ht="12.7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</row>
    <row r="313" spans="1:12" ht="12.7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</row>
    <row r="314" spans="1:12" ht="12.7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</row>
    <row r="315" spans="1:12" ht="12.7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</row>
    <row r="316" spans="1:12" ht="12.7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</row>
    <row r="317" spans="1:12" ht="12.7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</row>
    <row r="318" spans="1:12" ht="12.7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</row>
    <row r="319" spans="1:12" ht="12.7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</row>
    <row r="320" spans="1:12" ht="12.7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</row>
    <row r="321" spans="1:12" ht="12.7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</row>
    <row r="322" spans="1:12" ht="12.7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</row>
    <row r="323" spans="1:12" ht="12.7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</row>
    <row r="324" spans="1:12" ht="12.7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</row>
    <row r="325" spans="1:12" ht="12.7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</row>
    <row r="326" spans="1:12" ht="12.7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</row>
    <row r="327" spans="1:12" ht="12.7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</row>
    <row r="328" spans="1:12" ht="12.7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</row>
    <row r="329" spans="1:12" ht="12.7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</row>
    <row r="330" spans="1:12" ht="12.7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</row>
    <row r="331" spans="1:12" ht="12.7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</row>
    <row r="332" spans="1:12" ht="12.7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</row>
    <row r="333" spans="1:12" ht="12.7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</row>
    <row r="334" spans="1:12" ht="12.7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</row>
    <row r="335" spans="1:12" ht="12.7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</row>
    <row r="336" spans="1:12" ht="12.7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</row>
    <row r="337" spans="1:12" ht="12.7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</row>
    <row r="338" spans="1:12" ht="12.7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</row>
    <row r="339" spans="1:12" ht="12.7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</row>
    <row r="340" spans="1:12" ht="12.7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</row>
    <row r="341" spans="1:12" ht="12.7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</row>
    <row r="342" spans="1:12" ht="12.7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</row>
    <row r="343" spans="1:12" ht="12.7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</row>
    <row r="344" spans="1:12" ht="12.7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</row>
    <row r="345" spans="1:12" ht="12.7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</row>
    <row r="346" spans="1:12" ht="12.7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</row>
    <row r="347" spans="1:12" ht="12.7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</row>
    <row r="348" spans="1:12" ht="12.7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</row>
    <row r="349" spans="1:12" ht="12.7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</row>
    <row r="350" spans="1:12" ht="12.7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</row>
    <row r="351" spans="1:12" ht="12.7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</row>
    <row r="352" spans="1:12" ht="12.7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</row>
    <row r="353" spans="1:12" ht="12.7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</row>
    <row r="354" spans="1:12" ht="12.7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</row>
    <row r="355" spans="1:12" ht="12.7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</row>
    <row r="356" spans="1:12" ht="12.7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</row>
    <row r="357" spans="1:12" ht="12.7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</row>
    <row r="358" spans="1:12" ht="12.7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</row>
    <row r="359" spans="1:12" ht="12.7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</row>
    <row r="360" spans="1:12" ht="12.7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</row>
    <row r="361" spans="1:12" ht="12.7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</row>
    <row r="362" spans="1:12" ht="12.7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</row>
    <row r="363" spans="1:12" ht="12.7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</row>
    <row r="364" spans="1:12" ht="12.7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</row>
    <row r="365" spans="1:12" ht="12.7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</row>
    <row r="366" spans="1:12" ht="12.7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</row>
    <row r="367" spans="1:12" ht="12.7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</row>
    <row r="368" spans="1:12" ht="12.7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</row>
    <row r="369" spans="1:12" ht="12.7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</row>
    <row r="370" spans="1:12" ht="12.7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</row>
    <row r="371" spans="1:12" ht="12.7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</row>
    <row r="372" spans="1:12" ht="12.7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</row>
    <row r="373" spans="1:12" ht="12.7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</row>
    <row r="374" spans="1:12" ht="12.7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</row>
    <row r="375" spans="1:12" ht="12.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</row>
    <row r="376" spans="1:12" ht="12.7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</row>
    <row r="377" spans="1:12" ht="12.7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</row>
    <row r="378" spans="1:12" ht="12.7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</row>
    <row r="379" spans="1:12" ht="12.7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</row>
    <row r="380" spans="1:12" ht="12.7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</row>
    <row r="381" spans="1:12" ht="12.75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</row>
    <row r="382" spans="1:12" ht="12.75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</row>
    <row r="383" spans="1:12" ht="12.75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</row>
    <row r="384" spans="1:12" ht="12.75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</row>
    <row r="385" spans="1:12" ht="12.7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</row>
    <row r="386" spans="1:12" ht="12.75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</row>
    <row r="387" spans="1:12" ht="12.75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</row>
    <row r="388" spans="1:12" ht="12.75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</row>
    <row r="389" spans="1:12" ht="12.75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</row>
    <row r="390" spans="1:12" ht="12.75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</row>
    <row r="391" spans="1:12" ht="12.75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</row>
    <row r="392" spans="1:12" ht="12.75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</row>
    <row r="393" spans="1:12" ht="12.75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</row>
    <row r="394" spans="1:12" ht="12.75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</row>
    <row r="395" spans="1:12" ht="12.7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</row>
    <row r="396" spans="1:12" ht="12.75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</row>
    <row r="397" spans="1:12" ht="12.75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</row>
    <row r="398" spans="1:12" ht="12.75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</row>
    <row r="399" spans="1:12" ht="12.75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</row>
    <row r="400" spans="1:12" ht="12.75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</row>
    <row r="401" spans="1:12" ht="12.75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</row>
    <row r="402" spans="1:12" ht="12.75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</row>
    <row r="403" spans="1:12" ht="12.75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</row>
    <row r="404" spans="1:12" ht="12.75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</row>
    <row r="405" spans="1:12" ht="12.7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</row>
    <row r="406" spans="1:12" ht="12.75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</row>
    <row r="407" spans="1:12" ht="12.75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</row>
    <row r="408" spans="1:12" ht="12.75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</row>
    <row r="409" spans="1:12" ht="12.75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</row>
    <row r="410" spans="1:12" ht="12.75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</row>
    <row r="411" spans="1:12" ht="12.75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</row>
    <row r="412" spans="1:12" ht="12.75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</row>
    <row r="413" spans="1:12" ht="12.75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</row>
    <row r="414" spans="1:12" ht="12.75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</row>
    <row r="415" spans="1:12" ht="12.7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</row>
    <row r="416" spans="1:12" ht="12.75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</row>
    <row r="417" spans="1:12" ht="12.75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</row>
    <row r="418" spans="1:12" ht="12.75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</row>
    <row r="419" spans="1:12" ht="12.75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</row>
    <row r="420" spans="1:12" ht="12.75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</row>
    <row r="421" spans="1:12" ht="12.75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</row>
    <row r="422" spans="1:12" ht="12.75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</row>
    <row r="423" spans="1:12" ht="12.75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</row>
    <row r="424" spans="1:12" ht="12.75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</row>
    <row r="425" spans="1:12" ht="12.7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</row>
    <row r="426" spans="1:12" ht="12.75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</row>
    <row r="427" spans="1:12" ht="12.75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</row>
    <row r="428" spans="1:12" ht="12.75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</row>
    <row r="429" spans="1:12" ht="12.75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</row>
    <row r="430" spans="1:12" ht="12.75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</row>
    <row r="431" spans="1:12" ht="12.75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</row>
    <row r="432" spans="1:12" ht="12.75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</row>
    <row r="433" spans="1:12" ht="12.75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</row>
    <row r="434" spans="1:12" ht="12.75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</row>
    <row r="435" spans="1:12" ht="12.7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</row>
    <row r="436" spans="1:12" ht="12.75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</row>
    <row r="437" spans="1:12" ht="12.75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</row>
    <row r="438" spans="1:12" ht="12.75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</row>
    <row r="439" spans="1:12" ht="12.75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</row>
    <row r="440" spans="1:12" ht="12.75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</row>
    <row r="441" spans="1:12" ht="12.75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</row>
    <row r="442" spans="1:12" ht="12.75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</row>
    <row r="443" spans="1:12" ht="12.75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</row>
    <row r="444" spans="1:12" ht="12.75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</row>
    <row r="445" spans="1:12" ht="12.7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</row>
    <row r="446" spans="1:12" ht="12.75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</row>
    <row r="447" spans="1:12" ht="12.75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</row>
    <row r="448" spans="1:12" ht="12.75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</row>
    <row r="449" spans="1:12" ht="12.75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</row>
    <row r="450" spans="1:12" ht="12.75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</row>
    <row r="451" spans="1:12" ht="12.75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</row>
    <row r="452" spans="1:12" ht="12.75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</row>
    <row r="453" spans="1:12" ht="12.75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</row>
    <row r="454" spans="1:12" ht="12.75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</row>
    <row r="455" spans="1:12" ht="12.7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</row>
    <row r="456" spans="1:12" ht="12.75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</row>
    <row r="457" spans="1:12" ht="12.75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</row>
    <row r="458" spans="1:12" ht="12.75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</row>
    <row r="459" spans="1:12" ht="12.75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</row>
    <row r="460" spans="1:12" ht="12.75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</row>
    <row r="461" spans="1:12" ht="12.75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</row>
    <row r="462" spans="1:12" ht="12.75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</row>
    <row r="463" spans="1:12" ht="12.75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</row>
    <row r="464" spans="1:12" ht="12.75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</row>
    <row r="465" spans="1:12" ht="12.7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</row>
    <row r="466" spans="1:12" ht="12.75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</row>
    <row r="467" spans="1:12" ht="12.75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</row>
    <row r="468" spans="1:12" ht="12.75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</row>
    <row r="469" spans="1:12" ht="12.75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</row>
    <row r="470" spans="1:12" ht="12.75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</row>
    <row r="471" spans="1:12" ht="12.75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</row>
    <row r="472" spans="1:12" ht="12.75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</row>
    <row r="473" spans="1:12" ht="12.75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</row>
    <row r="474" spans="1:12" ht="12.75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</row>
    <row r="475" spans="1:12" ht="12.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</row>
    <row r="476" spans="1:12" ht="12.75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</row>
    <row r="477" spans="1:12" ht="12.75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</row>
    <row r="478" spans="1:12" ht="12.75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</row>
    <row r="479" spans="1:12" ht="12.75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</row>
    <row r="480" spans="1:12" ht="12.75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</row>
    <row r="481" spans="1:12" ht="12.75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</row>
    <row r="482" spans="1:12" ht="12.75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</row>
    <row r="483" spans="1:12" ht="12.75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</row>
    <row r="484" spans="1:12" ht="12.75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</row>
    <row r="485" spans="1:12" ht="12.7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</row>
    <row r="486" spans="1:12" ht="12.75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</row>
    <row r="487" spans="1:12" ht="12.75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</row>
    <row r="488" spans="1:12" ht="12.75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</row>
    <row r="489" spans="1:12" ht="12.75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</row>
    <row r="490" spans="1:12" ht="12.75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</row>
    <row r="491" spans="1:12" ht="12.75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</row>
    <row r="492" spans="1:12" ht="12.75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</row>
    <row r="493" spans="1:12" ht="12.75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</row>
    <row r="494" spans="1:12" ht="12.75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</row>
    <row r="495" spans="1:12" ht="12.7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</row>
    <row r="496" spans="1:12" ht="12.75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</row>
    <row r="497" spans="1:12" ht="12.75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</row>
    <row r="498" spans="1:12" ht="12.75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</row>
    <row r="499" spans="1:12" ht="12.75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</row>
    <row r="500" spans="1:12" ht="12.75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</row>
    <row r="501" spans="1:12" ht="12.75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</row>
    <row r="502" spans="1:12" ht="12.75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</row>
    <row r="503" spans="1:12" ht="12.75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</row>
    <row r="504" spans="1:12" ht="12.75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</row>
    <row r="505" spans="1:12" ht="12.7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</row>
    <row r="506" spans="1:12" ht="12.75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</row>
    <row r="507" spans="1:12" ht="12.75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</row>
    <row r="508" spans="1:12" ht="12.75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</row>
    <row r="509" spans="1:12" ht="12.75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</row>
    <row r="510" spans="1:12" ht="12.75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</row>
    <row r="511" spans="1:12" ht="12.75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</row>
    <row r="512" spans="1:12" ht="12.75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</row>
    <row r="513" spans="1:12" ht="12.75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</row>
    <row r="514" spans="1:12" ht="12.75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</row>
    <row r="515" spans="1:12" ht="12.7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</row>
    <row r="516" spans="1:12" ht="12.75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</row>
    <row r="517" spans="1:12" ht="12.75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</row>
    <row r="518" spans="1:12" ht="12.75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</row>
    <row r="519" spans="1:12" ht="12.75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</row>
    <row r="520" spans="1:12" ht="12.75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</row>
    <row r="521" spans="1:12" ht="12.75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</row>
    <row r="522" spans="1:12" ht="12.75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</row>
    <row r="523" spans="1:12" ht="12.75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</row>
    <row r="524" spans="1:12" ht="12.75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</row>
    <row r="525" spans="1:12" ht="12.7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</row>
    <row r="526" spans="1:12" ht="12.75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</row>
    <row r="527" spans="1:12" ht="12.75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</row>
    <row r="528" spans="1:12" ht="12.75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</row>
    <row r="529" spans="1:12" ht="12.75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</row>
    <row r="530" spans="1:12" ht="12.75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</row>
    <row r="531" spans="1:12" ht="12.75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</row>
    <row r="532" spans="1:12" ht="12.75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</row>
    <row r="533" spans="1:12" ht="12.75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</row>
    <row r="534" spans="1:12" ht="12.75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</row>
    <row r="535" spans="1:12" ht="12.7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</row>
    <row r="536" spans="1:12" ht="12.75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</row>
    <row r="537" spans="1:12" ht="12.75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</row>
    <row r="538" spans="1:12" ht="12.75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</row>
    <row r="539" spans="1:12" ht="12.75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</row>
    <row r="540" spans="1:12" ht="12.75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</row>
    <row r="541" spans="1:12" ht="12.75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</row>
    <row r="542" spans="1:12" ht="12.75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</row>
    <row r="543" spans="1:12" ht="12.75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</row>
    <row r="544" spans="1:12" ht="12.75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</row>
    <row r="545" spans="1:12" ht="12.7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</row>
    <row r="546" spans="1:12" ht="12.75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</row>
    <row r="547" spans="1:12" ht="12.75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</row>
    <row r="548" spans="1:12" ht="12.75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</row>
    <row r="549" spans="1:12" ht="12.75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</row>
    <row r="550" spans="1:12" ht="12.75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</row>
    <row r="551" spans="1:12" ht="12.75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</row>
    <row r="552" spans="1:12" ht="12.75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</row>
    <row r="553" spans="1:12" ht="12.75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</row>
    <row r="554" spans="1:12" ht="12.75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</row>
    <row r="555" spans="1:12" ht="12.7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</row>
    <row r="556" spans="1:12" ht="12.75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</row>
    <row r="557" spans="1:12" ht="12.75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</row>
    <row r="558" spans="1:12" ht="12.75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</row>
    <row r="559" spans="1:12" ht="12.75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</row>
    <row r="560" spans="1:12" ht="12.75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</row>
    <row r="561" spans="1:12" ht="12.75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</row>
    <row r="562" spans="1:12" ht="12.75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</row>
    <row r="563" spans="1:12" ht="12.75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</row>
    <row r="564" spans="1:12" ht="12.75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</row>
    <row r="565" spans="1:12" ht="12.7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</row>
    <row r="566" spans="1:12" ht="12.75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</row>
    <row r="567" spans="1:12" ht="12.75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</row>
    <row r="568" spans="1:12" ht="12.75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</row>
    <row r="569" spans="1:12" ht="12.75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</row>
    <row r="570" spans="1:12" ht="12.75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</row>
    <row r="571" spans="1:12" ht="12.75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</row>
    <row r="572" spans="1:12" ht="12.75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</row>
    <row r="573" spans="1:12" ht="12.75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</row>
    <row r="574" spans="1:12" ht="12.75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</row>
    <row r="575" spans="1:12" ht="12.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</row>
    <row r="576" spans="1:12" ht="12.75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</row>
    <row r="577" spans="1:12" ht="12.75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</row>
    <row r="578" spans="1:12" ht="12.75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</row>
    <row r="579" spans="1:12" ht="12.75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</row>
    <row r="580" spans="1:12" ht="12.75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</row>
    <row r="581" spans="1:12" ht="12.75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</row>
    <row r="582" spans="1:12" ht="12.75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</row>
    <row r="583" spans="1:12" ht="12.75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</row>
    <row r="584" spans="1:12" ht="12.75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</row>
    <row r="585" spans="1:12" ht="12.7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</row>
    <row r="586" spans="1:12" ht="12.75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</row>
    <row r="587" spans="1:12" ht="12.75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</row>
    <row r="588" spans="1:12" ht="12.75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</row>
    <row r="589" spans="1:12" ht="12.75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</row>
    <row r="590" spans="1:12" ht="12.75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</row>
    <row r="591" spans="1:12" ht="12.75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</row>
    <row r="592" spans="1:12" ht="12.75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</row>
    <row r="593" spans="1:12" ht="12.75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</row>
    <row r="594" spans="1:12" ht="12.75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</row>
    <row r="595" spans="1:12" ht="12.7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</row>
    <row r="596" spans="1:12" ht="12.75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</row>
    <row r="597" spans="1:12" ht="12.75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</row>
    <row r="598" spans="1:12" ht="12.75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</row>
    <row r="599" spans="1:12" ht="12.75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</row>
    <row r="600" spans="1:12" ht="12.75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</row>
    <row r="601" spans="1:12" ht="12.75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</row>
    <row r="602" spans="1:12" ht="12.75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</row>
    <row r="603" spans="1:12" ht="12.75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</row>
    <row r="604" spans="1:12" ht="12.75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</row>
    <row r="605" spans="1:12" ht="12.7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</row>
    <row r="606" spans="1:12" ht="12.75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</row>
    <row r="607" spans="1:12" ht="12.75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</row>
    <row r="608" spans="1:12" ht="12.75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</row>
    <row r="609" spans="1:12" ht="12.75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</row>
    <row r="610" spans="1:12" ht="12.75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</row>
    <row r="611" spans="1:12" ht="12.75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</row>
    <row r="612" spans="1:12" ht="12.75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</row>
    <row r="613" spans="1:12" ht="12.75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</row>
    <row r="614" spans="1:12" ht="12.75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</row>
    <row r="615" spans="1:12" ht="12.7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</row>
    <row r="616" spans="1:12" ht="12.75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</row>
    <row r="617" spans="1:12" ht="12.75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</row>
    <row r="618" spans="1:12" ht="12.75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</row>
    <row r="619" spans="1:12" ht="12.75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</row>
    <row r="620" spans="1:12" ht="12.75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</row>
    <row r="621" spans="1:12" ht="12.75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</row>
    <row r="622" spans="1:12" ht="12.75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</row>
    <row r="623" spans="1:12" ht="12.75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</row>
    <row r="624" spans="1:12" ht="12.75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</row>
    <row r="625" spans="1:12" ht="12.7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</row>
    <row r="626" spans="1:12" ht="12.75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</row>
    <row r="627" spans="1:12" ht="12.75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</row>
    <row r="628" spans="1:12" ht="12.75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</row>
    <row r="629" spans="1:12" ht="12.75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</row>
    <row r="630" spans="1:12" ht="12.75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</row>
    <row r="631" spans="1:12" ht="12.75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</row>
    <row r="632" spans="1:12" ht="12.75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</row>
    <row r="633" spans="1:12" ht="12.75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</row>
    <row r="634" spans="1:12" ht="12.75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</row>
    <row r="635" spans="1:12" ht="12.7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</row>
    <row r="636" spans="1:12" ht="12.75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</row>
    <row r="637" spans="1:12" ht="12.75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</row>
    <row r="638" spans="1:12" ht="12.75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</row>
    <row r="639" spans="1:12" ht="12.75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</row>
    <row r="640" spans="1:12" ht="12.75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</row>
    <row r="641" spans="1:12" ht="12.75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</row>
    <row r="642" spans="1:12" ht="12.75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</row>
    <row r="643" spans="1:12" ht="12.75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</row>
    <row r="644" spans="1:12" ht="12.75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</row>
    <row r="645" spans="1:12" ht="12.7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</row>
    <row r="646" spans="1:12" ht="12.75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</row>
    <row r="647" spans="1:12" ht="12.75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</row>
    <row r="648" spans="1:12" ht="12.75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</row>
    <row r="649" spans="1:12" ht="12.75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</row>
    <row r="650" spans="1:12" ht="12.75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</row>
    <row r="651" spans="1:12" ht="12.75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</row>
    <row r="652" spans="1:12" ht="12.75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</row>
    <row r="653" spans="1:12" ht="12.75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</row>
    <row r="654" spans="1:12" ht="12.75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</row>
    <row r="655" spans="1:12" ht="12.7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</row>
    <row r="656" spans="1:12" ht="12.75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</row>
    <row r="657" spans="1:12" ht="12.75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</row>
    <row r="658" spans="1:12" ht="12.75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</row>
    <row r="659" spans="1:12" ht="12.75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</row>
    <row r="660" spans="1:12" ht="12.75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</row>
    <row r="661" spans="1:12" ht="12.75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</row>
    <row r="662" spans="1:12" ht="12.75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</row>
    <row r="663" spans="1:12" ht="12.75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</row>
    <row r="664" spans="1:12" ht="12.75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</row>
    <row r="665" spans="1:12" ht="12.7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</row>
    <row r="666" spans="1:12" ht="12.75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</row>
    <row r="667" spans="1:12" ht="12.75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</row>
    <row r="668" spans="1:12" ht="12.75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</row>
    <row r="669" spans="1:12" ht="12.75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</row>
    <row r="670" spans="1:12" ht="12.75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</row>
    <row r="671" spans="1:12" ht="12.75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</row>
    <row r="672" spans="1:12" ht="12.75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</row>
    <row r="673" spans="1:12" ht="12.75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</row>
    <row r="674" spans="1:12" ht="12.75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</row>
    <row r="675" spans="1:12" ht="12.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</row>
    <row r="676" spans="1:12" ht="12.75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</row>
    <row r="677" spans="1:12" ht="12.75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</row>
    <row r="678" spans="1:12" ht="12.75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</row>
    <row r="679" spans="1:12" ht="12.75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</row>
    <row r="680" spans="1:12" ht="12.75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</row>
    <row r="681" spans="1:12" ht="12.75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</row>
    <row r="682" spans="1:12" ht="12.75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</row>
    <row r="683" spans="1:12" ht="12.75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</row>
    <row r="684" spans="1:12" ht="12.75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</row>
    <row r="685" spans="1:12" ht="12.7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</row>
    <row r="686" spans="1:12" ht="12.75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</row>
    <row r="687" spans="1:12" ht="12.75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</row>
    <row r="688" spans="1:12" ht="12.75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</row>
    <row r="689" spans="1:12" ht="12.75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</row>
    <row r="690" spans="1:12" ht="12.75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</row>
    <row r="691" spans="1:12" ht="12.75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</row>
    <row r="692" spans="1:12" ht="12.75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</row>
    <row r="693" spans="1:12" ht="12.75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</row>
    <row r="694" spans="1:12" ht="12.75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</row>
    <row r="695" spans="1:12" ht="12.7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</row>
    <row r="696" spans="1:12" ht="12.75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</row>
    <row r="697" spans="1:12" ht="12.75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</row>
    <row r="698" spans="1:12" ht="12.75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</row>
    <row r="699" spans="1:12" ht="12.75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</row>
    <row r="700" spans="1:12" ht="12.75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</row>
    <row r="701" spans="1:12" ht="12.75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</row>
    <row r="702" spans="1:12" ht="12.75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</row>
    <row r="703" spans="1:12" ht="12.75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</row>
    <row r="704" spans="1:12" ht="12.75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</row>
    <row r="705" spans="1:12" ht="12.7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</row>
    <row r="706" spans="1:12" ht="12.75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</row>
    <row r="707" spans="1:12" ht="12.75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</row>
    <row r="708" spans="1:12" ht="12.75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</row>
    <row r="709" spans="1:12" ht="12.75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</row>
    <row r="710" spans="1:12" ht="12.75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</row>
    <row r="711" spans="1:12" ht="12.75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</row>
    <row r="712" spans="1:12" ht="12.75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</row>
    <row r="713" spans="1:12" ht="12.75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</row>
    <row r="714" spans="1:12" ht="12.75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</row>
    <row r="715" spans="1:12" ht="12.7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</row>
    <row r="716" spans="1:12" ht="12.75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</row>
    <row r="717" spans="1:12" ht="12.75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</row>
    <row r="718" spans="1:12" ht="12.75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</row>
    <row r="719" spans="1:12" ht="12.75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</row>
    <row r="720" spans="1:12" ht="12.75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</row>
    <row r="721" spans="1:12" ht="12.75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</row>
    <row r="722" spans="1:12" ht="12.75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</row>
    <row r="723" spans="1:12" ht="12.75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</row>
    <row r="724" spans="1:12" ht="12.75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</row>
    <row r="725" spans="1:12" ht="12.7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</row>
    <row r="726" spans="1:12" ht="12.75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</row>
    <row r="727" spans="1:12" ht="12.75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</row>
    <row r="728" spans="1:12" ht="12.75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</row>
    <row r="729" spans="1:12" ht="12.75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</row>
    <row r="730" spans="1:12" ht="12.75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</row>
    <row r="731" spans="1:12" ht="12.75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</row>
    <row r="732" spans="1:12" ht="12.75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</row>
    <row r="733" spans="1:12" ht="12.75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</row>
    <row r="734" spans="1:12" ht="12.75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</row>
    <row r="735" spans="1:12" ht="12.7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</row>
    <row r="736" spans="1:12" ht="12.75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</row>
    <row r="737" spans="1:12" ht="12.75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</row>
    <row r="738" spans="1:12" ht="12.75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</row>
    <row r="739" spans="1:12" ht="12.75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</row>
    <row r="740" spans="1:12" ht="12.75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</row>
    <row r="741" spans="1:12" ht="12.75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</row>
    <row r="742" spans="1:12" ht="12.75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</row>
    <row r="743" spans="1:12" ht="12.75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</row>
    <row r="744" spans="1:12" ht="12.75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</row>
    <row r="745" spans="1:12" ht="12.7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</row>
    <row r="746" spans="1:12" ht="12.75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</row>
    <row r="747" spans="1:12" ht="12.75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</row>
    <row r="748" spans="1:12" ht="12.75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</row>
    <row r="749" spans="1:12" ht="12.75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</row>
    <row r="750" spans="1:12" ht="12.75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</row>
    <row r="751" spans="1:12" ht="12.75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</row>
    <row r="752" spans="1:12" ht="12.75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</row>
    <row r="753" spans="1:12" ht="12.75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</row>
    <row r="754" spans="1:12" ht="12.75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</row>
    <row r="755" spans="1:12" ht="12.7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</row>
    <row r="756" spans="1:12" ht="12.75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</row>
    <row r="757" spans="1:12" ht="12.75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</row>
    <row r="758" spans="1:12" ht="12.75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</row>
    <row r="759" spans="1:12" ht="12.75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</row>
    <row r="760" spans="1:12" ht="12.75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</row>
    <row r="761" spans="1:12" ht="12.75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</row>
    <row r="762" spans="1:12" ht="12.75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</row>
    <row r="763" spans="1:12" ht="12.75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</row>
    <row r="764" spans="1:12" ht="12.75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</row>
    <row r="765" spans="1:12" ht="12.7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</row>
    <row r="766" spans="1:12" ht="12.75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</row>
    <row r="767" spans="1:12" ht="12.75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</row>
    <row r="768" spans="1:12" ht="12.75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</row>
    <row r="769" spans="1:12" ht="12.75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</row>
    <row r="770" spans="1:12" ht="12.75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</row>
    <row r="771" spans="1:12" ht="12.75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</row>
    <row r="772" spans="1:12" ht="12.75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</row>
    <row r="773" spans="1:12" ht="12.75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</row>
    <row r="774" spans="1:12" ht="12.75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</row>
    <row r="775" spans="1:12" ht="12.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</row>
    <row r="776" spans="1:12" ht="12.75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</row>
    <row r="777" spans="1:12" ht="12.75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</row>
    <row r="778" spans="1:12" ht="12.75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</row>
    <row r="779" spans="1:12" ht="12.75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</row>
    <row r="780" spans="1:12" ht="12.75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</row>
    <row r="781" spans="1:12" ht="12.75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</row>
    <row r="782" spans="1:12" ht="12.75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</row>
    <row r="783" spans="1:12" ht="12.75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</row>
    <row r="784" spans="1:12" ht="12.75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</row>
    <row r="785" spans="1:12" ht="12.7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</row>
    <row r="786" spans="1:12" ht="12.75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</row>
    <row r="787" spans="1:12" ht="12.75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</row>
    <row r="788" spans="1:12" ht="12.75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</row>
    <row r="789" spans="1:12" ht="12.75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</row>
    <row r="790" spans="1:12" ht="12.75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</row>
    <row r="791" spans="1:12" ht="12.75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</row>
    <row r="792" spans="1:12" ht="12.75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</row>
    <row r="793" spans="1:12" ht="12.75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</row>
    <row r="794" spans="1:12" ht="12.75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</row>
    <row r="795" spans="1:12" ht="12.7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</row>
    <row r="796" spans="1:12" ht="12.75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</row>
    <row r="797" spans="1:12" ht="12.75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</row>
    <row r="798" spans="1:12" ht="12.75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</row>
    <row r="799" spans="1:12" ht="12.75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</row>
    <row r="800" spans="1:12" ht="12.75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</row>
    <row r="801" spans="1:12" ht="12.75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</row>
    <row r="802" spans="1:12" ht="12.75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</row>
    <row r="803" spans="1:12" ht="12.75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</row>
    <row r="804" spans="1:12" ht="12.75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</row>
    <row r="805" spans="1:12" ht="12.7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</row>
    <row r="806" spans="1:12" ht="12.75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</row>
    <row r="807" spans="1:12" ht="12.75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</row>
    <row r="808" spans="1:12" ht="12.75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</row>
    <row r="809" spans="1:12" ht="12.75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</row>
    <row r="810" spans="1:12" ht="12.75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</row>
    <row r="811" spans="1:12" ht="12.75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</row>
    <row r="812" spans="1:12" ht="12.75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</row>
    <row r="813" spans="1:12" ht="12.75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</row>
    <row r="814" spans="1:12" ht="12.75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</row>
    <row r="815" spans="1:12" ht="12.7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</row>
    <row r="816" spans="1:12" ht="12.75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</row>
    <row r="817" spans="1:12" ht="12.75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</row>
    <row r="818" spans="1:12" ht="12.75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</row>
    <row r="819" spans="1:12" ht="12.75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</row>
    <row r="820" spans="1:12" ht="12.75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</row>
    <row r="821" spans="1:12" ht="12.75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</row>
    <row r="822" spans="1:12" ht="12.75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</row>
    <row r="823" spans="1:12" ht="12.75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</row>
    <row r="824" spans="1:12" ht="12.75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</row>
    <row r="825" spans="1:12" ht="12.7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</row>
    <row r="826" spans="1:12" ht="12.75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</row>
    <row r="827" spans="1:12" ht="12.75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</row>
    <row r="828" spans="1:12" ht="12.75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</row>
    <row r="829" spans="1:12" ht="12.75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</row>
    <row r="830" spans="1:12" ht="12.75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</row>
    <row r="831" spans="1:12" ht="12.75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</row>
    <row r="832" spans="1:12" ht="12.75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</row>
    <row r="833" spans="1:12" ht="12.75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</row>
    <row r="834" spans="1:12" ht="12.75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</row>
    <row r="835" spans="1:12" ht="12.7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</row>
    <row r="836" spans="1:12" ht="12.75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</row>
    <row r="837" spans="1:12" ht="12.75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</row>
    <row r="838" spans="1:12" ht="12.75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</row>
    <row r="839" spans="1:12" ht="12.75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</row>
    <row r="840" spans="1:12" ht="12.75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</row>
    <row r="841" spans="1:12" ht="12.75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</row>
    <row r="842" spans="1:12" ht="12.75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</row>
    <row r="843" spans="1:12" ht="12.75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</row>
    <row r="844" spans="1:12" ht="12.75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</row>
    <row r="845" spans="1:12" ht="12.7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</row>
    <row r="846" spans="1:12" ht="12.75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</row>
    <row r="847" spans="1:12" ht="12.75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</row>
    <row r="848" spans="1:12" ht="12.75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</row>
    <row r="849" spans="1:12" ht="12.75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</row>
    <row r="850" spans="1:12" ht="12.75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</row>
    <row r="851" spans="1:12" ht="12.75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</row>
    <row r="852" spans="1:12" ht="12.75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</row>
    <row r="853" spans="1:12" ht="12.75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</row>
    <row r="854" spans="1:12" ht="12.75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</row>
    <row r="855" spans="1:12" ht="12.7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</row>
    <row r="856" spans="1:12" ht="12.75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</row>
    <row r="857" spans="1:12" ht="12.75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</row>
    <row r="858" spans="1:12" ht="12.75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</row>
    <row r="859" spans="1:12" ht="12.75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</row>
    <row r="860" spans="1:12" ht="12.75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</row>
    <row r="861" spans="1:12" ht="12.75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</row>
    <row r="862" spans="1:12" ht="12.75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</row>
    <row r="863" spans="1:12" ht="12.75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</row>
    <row r="864" spans="1:12" ht="12.75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</row>
    <row r="865" spans="1:12" ht="12.7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</row>
    <row r="866" spans="1:12" ht="12.75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</row>
    <row r="867" spans="1:12" ht="12.75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</row>
    <row r="868" spans="1:12" ht="12.75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</row>
    <row r="869" spans="1:12" ht="12.75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</row>
    <row r="870" spans="1:12" ht="12.75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</row>
    <row r="871" spans="1:12" ht="12.75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</row>
    <row r="872" spans="1:12" ht="12.75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</row>
    <row r="873" spans="1:12" ht="12.75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</row>
    <row r="874" spans="1:12" ht="12.75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</row>
    <row r="875" spans="1:12" ht="12.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</row>
    <row r="876" spans="1:12" ht="12.75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</row>
    <row r="877" spans="1:12" ht="12.75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</row>
    <row r="878" spans="1:12" ht="12.75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</row>
    <row r="879" spans="1:12" ht="12.75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</row>
    <row r="880" spans="1:12" ht="12.75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</row>
    <row r="881" spans="1:12" ht="12.75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</row>
    <row r="882" spans="1:12" ht="12.75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</row>
    <row r="883" spans="1:12" ht="12.75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</row>
    <row r="884" spans="1:12" ht="12.75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</row>
    <row r="885" spans="1:12" ht="12.7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</row>
    <row r="886" spans="1:12" ht="12.75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</row>
    <row r="887" spans="1:12" ht="12.75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</row>
    <row r="888" spans="1:12" ht="12.75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</row>
    <row r="889" spans="1:12" ht="12.75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</row>
    <row r="890" spans="1:12" ht="12.75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</row>
    <row r="891" spans="1:12" ht="12.75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</row>
    <row r="892" spans="1:12" ht="12.75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</row>
    <row r="893" spans="1:12" ht="12.75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</row>
    <row r="894" spans="1:12" ht="12.75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</row>
    <row r="895" spans="1:12" ht="12.7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</row>
    <row r="896" spans="1:12" ht="12.75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</row>
    <row r="897" spans="1:12" ht="12.75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</row>
    <row r="898" spans="1:12" ht="12.75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</row>
    <row r="899" spans="1:12" ht="12.75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</row>
    <row r="900" spans="1:12" ht="12.75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</row>
    <row r="901" spans="1:12" ht="12.75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</row>
    <row r="902" spans="1:12" ht="12.75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</row>
    <row r="903" spans="1:12" ht="12.75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</row>
    <row r="904" spans="1:12" ht="12.75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</row>
    <row r="905" spans="1:12" ht="12.7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</row>
    <row r="906" spans="1:12" ht="12.75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</row>
    <row r="907" spans="1:12" ht="12.75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</row>
    <row r="908" spans="1:12" ht="12.75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</row>
    <row r="909" spans="1:12" ht="12.75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</row>
    <row r="910" spans="1:12" ht="12.75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</row>
    <row r="911" spans="1:12" ht="12.75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</row>
    <row r="912" spans="1:12" ht="12.75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</row>
    <row r="913" spans="1:12" ht="12.75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</row>
    <row r="914" spans="1:12" ht="12.75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</row>
    <row r="915" spans="1:12" ht="12.7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</row>
    <row r="916" spans="1:12" ht="12.75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</row>
    <row r="917" spans="1:12" ht="12.75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</row>
    <row r="918" spans="1:12" ht="12.75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</row>
    <row r="919" spans="1:12" ht="12.75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</row>
    <row r="920" spans="1:12" ht="12.75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</row>
    <row r="921" spans="1:12" ht="12.75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</row>
    <row r="922" spans="1:12" ht="12.75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</row>
    <row r="923" spans="1:12" ht="12.75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</row>
    <row r="924" spans="1:12" ht="12.75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</row>
    <row r="925" spans="1:12" ht="12.7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</row>
    <row r="926" spans="1:12" ht="12.75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</row>
    <row r="927" spans="1:12" ht="12.75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</row>
    <row r="928" spans="1:12" ht="12.75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</row>
    <row r="929" spans="1:12" ht="12.75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</row>
    <row r="930" spans="1:12" ht="12.75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</row>
    <row r="931" spans="1:12" ht="12.75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</row>
    <row r="932" spans="1:12" ht="12.75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</row>
    <row r="933" spans="1:12" ht="12.75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</row>
    <row r="934" spans="1:12" ht="12.75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</row>
    <row r="935" spans="1:12" ht="12.7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</row>
    <row r="936" spans="1:12" ht="12.75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</row>
    <row r="937" spans="1:12" ht="12.75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</row>
    <row r="938" spans="1:12" ht="12.75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</row>
    <row r="939" spans="1:12" ht="12.75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</row>
    <row r="940" spans="1:12" ht="12.75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</row>
    <row r="941" spans="1:12" ht="12.75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</row>
    <row r="942" spans="1:12" ht="12.75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</row>
    <row r="943" spans="1:12" ht="12.75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</row>
    <row r="944" spans="1:12" ht="12.75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</row>
    <row r="945" spans="1:12" ht="12.7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</row>
    <row r="946" spans="1:12" ht="12.75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</row>
    <row r="947" spans="1:12" ht="12.75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</row>
    <row r="948" spans="1:12" ht="12.75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</row>
    <row r="949" spans="1:12" ht="12.75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</row>
    <row r="950" spans="1:12" ht="12.75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</row>
    <row r="951" spans="1:12" ht="12.75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</row>
    <row r="952" spans="1:12" ht="12.75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</row>
    <row r="953" spans="1:12" ht="12.75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</row>
    <row r="954" spans="1:12" ht="12.75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</row>
    <row r="955" spans="1:12" ht="12.7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</row>
    <row r="956" spans="1:12" ht="12.75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</row>
    <row r="957" spans="1:12" ht="12.75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</row>
    <row r="958" spans="1:12" ht="12.75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</row>
    <row r="959" spans="1:12" ht="12.75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</row>
    <row r="960" spans="1:12" ht="12.75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</row>
    <row r="961" spans="1:12" ht="12.75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</row>
    <row r="962" spans="1:12" ht="12.75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</row>
    <row r="963" spans="1:12" ht="12.75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</row>
    <row r="964" spans="1:12" ht="12.75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</row>
    <row r="965" spans="1:12" ht="12.7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</row>
    <row r="966" spans="1:12" ht="12.75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</row>
    <row r="967" spans="1:12" ht="12.75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</row>
    <row r="968" spans="1:12" ht="12.75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</row>
    <row r="969" spans="1:12" ht="12.75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</row>
    <row r="970" spans="1:12" ht="12.75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</row>
    <row r="971" spans="1:12" ht="12.75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</row>
    <row r="972" spans="1:12" ht="12.75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</row>
    <row r="973" spans="1:12" ht="12.75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</row>
    <row r="974" spans="1:12" ht="12.75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</row>
    <row r="975" spans="1:12" ht="12.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</row>
    <row r="976" spans="1:12" ht="12.75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</row>
    <row r="977" spans="1:12" ht="12.75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</row>
    <row r="978" spans="1:12" ht="12.75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</row>
    <row r="979" spans="1:12" ht="12.75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</row>
    <row r="980" spans="1:12" ht="12.75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</row>
    <row r="981" spans="1:12" ht="12.75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</row>
    <row r="982" spans="1:12" ht="12.75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</row>
    <row r="983" spans="1:12" ht="12.75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</row>
    <row r="984" spans="1:12" ht="12.75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</row>
    <row r="985" spans="1:12" ht="12.7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</row>
    <row r="986" spans="1:12" ht="12.75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</row>
    <row r="987" spans="1:12" ht="12.75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</row>
    <row r="988" spans="1:12" ht="12.75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</row>
    <row r="989" spans="1:12" ht="12.75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</row>
    <row r="990" spans="1:12" ht="12.75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</row>
    <row r="991" spans="1:12" ht="12.75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</row>
    <row r="992" spans="1:12" ht="12.75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</row>
    <row r="993" spans="1:12" ht="12.75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</row>
    <row r="994" spans="1:12" ht="12.75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</row>
    <row r="995" spans="1:12" ht="12.7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</row>
    <row r="996" spans="1:12" ht="12.75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</row>
    <row r="997" spans="1:12" ht="12.75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</row>
    <row r="998" spans="1:12" ht="12.75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</row>
    <row r="999" spans="1:12" ht="12.75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</row>
    <row r="1000" spans="1:12" ht="12.75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</row>
    <row r="1001" spans="1:12" ht="12.75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</row>
    <row r="1002" spans="1:12" ht="12.75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</row>
    <row r="1003" spans="1:12" ht="12.75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</row>
    <row r="1004" spans="1:12" ht="12.75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</row>
    <row r="1005" spans="1:12" ht="12.75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</row>
    <row r="1006" spans="1:12" ht="12.75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</row>
    <row r="1007" spans="1:12" ht="12.75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</row>
    <row r="1008" spans="1:12" ht="12.75">
      <c r="A1008" s="43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</row>
    <row r="1009" spans="1:12" ht="12.75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</row>
    <row r="1010" spans="1:12" ht="12.75">
      <c r="A1010" s="43"/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</row>
    <row r="1011" spans="1:12" ht="12.75">
      <c r="A1011" s="43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</row>
    <row r="1012" spans="1:12" ht="12.75">
      <c r="A1012" s="43"/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L1012" s="43"/>
    </row>
    <row r="1013" spans="1:12" ht="12.75">
      <c r="A1013" s="43"/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L1013" s="43"/>
    </row>
    <row r="1014" spans="1:12" ht="12.75">
      <c r="A1014" s="43"/>
      <c r="B1014" s="43"/>
      <c r="C1014" s="43"/>
      <c r="D1014" s="43"/>
      <c r="E1014" s="43"/>
      <c r="F1014" s="43"/>
      <c r="G1014" s="43"/>
      <c r="H1014" s="43"/>
      <c r="I1014" s="43"/>
      <c r="J1014" s="43"/>
      <c r="K1014" s="43"/>
      <c r="L1014" s="43"/>
    </row>
    <row r="1015" spans="1:12" ht="12.75">
      <c r="A1015" s="43"/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L1015" s="43"/>
    </row>
    <row r="1016" spans="1:12" ht="12.75">
      <c r="A1016" s="43"/>
      <c r="B1016" s="43"/>
      <c r="C1016" s="43"/>
      <c r="D1016" s="43"/>
      <c r="E1016" s="43"/>
      <c r="F1016" s="43"/>
      <c r="G1016" s="43"/>
      <c r="H1016" s="43"/>
      <c r="I1016" s="43"/>
      <c r="J1016" s="43"/>
      <c r="K1016" s="43"/>
      <c r="L1016" s="43"/>
    </row>
    <row r="1017" spans="1:12" ht="12.75">
      <c r="A1017" s="43"/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</row>
    <row r="1018" spans="1:12" ht="12.75">
      <c r="A1018" s="43"/>
      <c r="B1018" s="43"/>
      <c r="C1018" s="43"/>
      <c r="D1018" s="43"/>
      <c r="E1018" s="43"/>
      <c r="F1018" s="43"/>
      <c r="G1018" s="43"/>
      <c r="H1018" s="43"/>
      <c r="I1018" s="43"/>
      <c r="J1018" s="43"/>
      <c r="K1018" s="43"/>
      <c r="L1018" s="43"/>
    </row>
    <row r="1019" spans="1:12" ht="12.75">
      <c r="A1019" s="43"/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L1019" s="43"/>
    </row>
    <row r="1020" spans="1:12" ht="12.75">
      <c r="A1020" s="43"/>
      <c r="B1020" s="43"/>
      <c r="C1020" s="43"/>
      <c r="D1020" s="43"/>
      <c r="E1020" s="43"/>
      <c r="F1020" s="43"/>
      <c r="G1020" s="43"/>
      <c r="H1020" s="43"/>
      <c r="I1020" s="43"/>
      <c r="J1020" s="43"/>
      <c r="K1020" s="43"/>
      <c r="L1020" s="43"/>
    </row>
  </sheetData>
  <dataValidations count="1">
    <dataValidation type="custom" allowBlank="1" showDropDown="1" sqref="K2:K13" xr:uid="{00000000-0002-0000-0300-000000000000}">
      <formula1>AND(ISNUMBER(K2),(NOT(OR(NOT(ISERROR(DATEVALUE(K2))), AND(ISNUMBER(K2), LEFT(CELL("format", K2))="D")))))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4"/>
  <sheetViews>
    <sheetView showGridLines="0" workbookViewId="0"/>
  </sheetViews>
  <sheetFormatPr defaultColWidth="12.5703125" defaultRowHeight="15.75" customHeight="1"/>
  <cols>
    <col min="1" max="1" width="17" customWidth="1"/>
    <col min="2" max="2" width="18.140625" customWidth="1"/>
    <col min="3" max="3" width="11" customWidth="1"/>
    <col min="4" max="4" width="12.5703125" customWidth="1"/>
    <col min="5" max="5" width="6.85546875" customWidth="1"/>
    <col min="6" max="6" width="8.140625" customWidth="1"/>
    <col min="7" max="7" width="9.140625" customWidth="1"/>
    <col min="8" max="8" width="10.42578125" customWidth="1"/>
    <col min="9" max="9" width="8.7109375" customWidth="1"/>
    <col min="10" max="10" width="9.42578125" customWidth="1"/>
  </cols>
  <sheetData>
    <row r="1" spans="1:10">
      <c r="A1" s="44" t="s">
        <v>101</v>
      </c>
      <c r="B1" s="44" t="s">
        <v>102</v>
      </c>
      <c r="C1" s="44" t="s">
        <v>103</v>
      </c>
      <c r="D1" s="44" t="s">
        <v>104</v>
      </c>
      <c r="E1" s="44" t="s">
        <v>105</v>
      </c>
      <c r="F1" s="44" t="s">
        <v>106</v>
      </c>
      <c r="G1" s="44" t="s">
        <v>107</v>
      </c>
      <c r="H1" s="44" t="s">
        <v>108</v>
      </c>
      <c r="I1" s="44" t="s">
        <v>109</v>
      </c>
      <c r="J1" s="44" t="s">
        <v>110</v>
      </c>
    </row>
    <row r="2" spans="1:10">
      <c r="A2" s="45" t="s">
        <v>24</v>
      </c>
      <c r="B2" s="46" t="s">
        <v>23</v>
      </c>
      <c r="C2" s="47" t="s">
        <v>111</v>
      </c>
      <c r="D2" s="47">
        <v>40</v>
      </c>
      <c r="E2" s="47" t="s">
        <v>112</v>
      </c>
      <c r="F2" s="48">
        <v>9</v>
      </c>
      <c r="G2" s="47">
        <v>3</v>
      </c>
      <c r="H2" s="47">
        <v>6</v>
      </c>
      <c r="I2" s="47" t="s">
        <v>113</v>
      </c>
      <c r="J2" s="47" t="s">
        <v>114</v>
      </c>
    </row>
    <row r="3" spans="1:10">
      <c r="A3" s="45" t="s">
        <v>62</v>
      </c>
      <c r="B3" s="46" t="s">
        <v>61</v>
      </c>
      <c r="C3" s="47" t="s">
        <v>115</v>
      </c>
      <c r="D3" s="47">
        <v>40</v>
      </c>
      <c r="E3" s="47" t="s">
        <v>116</v>
      </c>
      <c r="F3" s="48">
        <v>9</v>
      </c>
      <c r="G3" s="47">
        <v>3</v>
      </c>
      <c r="H3" s="47">
        <v>6</v>
      </c>
      <c r="I3" s="47" t="s">
        <v>117</v>
      </c>
      <c r="J3" s="47" t="s">
        <v>118</v>
      </c>
    </row>
    <row r="4" spans="1:10">
      <c r="A4" s="45" t="s">
        <v>84</v>
      </c>
      <c r="B4" s="46" t="s">
        <v>83</v>
      </c>
      <c r="C4" s="47" t="s">
        <v>119</v>
      </c>
      <c r="D4" s="47">
        <v>40</v>
      </c>
      <c r="E4" s="47" t="s">
        <v>120</v>
      </c>
      <c r="F4" s="48">
        <v>9</v>
      </c>
      <c r="G4" s="47">
        <v>3</v>
      </c>
      <c r="H4" s="47">
        <v>6</v>
      </c>
      <c r="I4" s="47" t="s">
        <v>121</v>
      </c>
      <c r="J4" s="47" t="s">
        <v>122</v>
      </c>
    </row>
    <row r="5" spans="1:10">
      <c r="A5" s="45" t="s">
        <v>69</v>
      </c>
      <c r="B5" s="46" t="s">
        <v>68</v>
      </c>
      <c r="C5" s="47" t="s">
        <v>119</v>
      </c>
      <c r="D5" s="47">
        <v>40</v>
      </c>
      <c r="E5" s="47" t="s">
        <v>120</v>
      </c>
      <c r="F5" s="47">
        <v>9</v>
      </c>
      <c r="G5" s="47">
        <v>3</v>
      </c>
      <c r="H5" s="47">
        <v>6</v>
      </c>
      <c r="I5" s="47" t="s">
        <v>121</v>
      </c>
      <c r="J5" s="47" t="s">
        <v>122</v>
      </c>
    </row>
    <row r="6" spans="1:10">
      <c r="A6" s="45" t="s">
        <v>46</v>
      </c>
      <c r="B6" s="46" t="s">
        <v>45</v>
      </c>
      <c r="C6" s="47" t="s">
        <v>119</v>
      </c>
      <c r="D6" s="47">
        <v>40</v>
      </c>
      <c r="E6" s="47" t="s">
        <v>120</v>
      </c>
      <c r="F6" s="47">
        <v>9</v>
      </c>
      <c r="G6" s="47">
        <v>3</v>
      </c>
      <c r="H6" s="47">
        <v>6</v>
      </c>
      <c r="I6" s="47" t="s">
        <v>121</v>
      </c>
      <c r="J6" s="47" t="s">
        <v>122</v>
      </c>
    </row>
    <row r="7" spans="1:10">
      <c r="A7" s="45" t="s">
        <v>123</v>
      </c>
      <c r="B7" s="46" t="s">
        <v>88</v>
      </c>
      <c r="C7" s="47" t="s">
        <v>119</v>
      </c>
      <c r="D7" s="47">
        <v>40</v>
      </c>
      <c r="E7" s="47" t="s">
        <v>120</v>
      </c>
      <c r="F7" s="48">
        <v>9</v>
      </c>
      <c r="G7" s="47">
        <v>3</v>
      </c>
      <c r="H7" s="47">
        <v>6</v>
      </c>
      <c r="I7" s="47" t="s">
        <v>121</v>
      </c>
      <c r="J7" s="47" t="s">
        <v>122</v>
      </c>
    </row>
    <row r="8" spans="1:10">
      <c r="A8" s="45" t="s">
        <v>49</v>
      </c>
      <c r="B8" s="46" t="s">
        <v>48</v>
      </c>
      <c r="C8" s="47" t="s">
        <v>124</v>
      </c>
      <c r="D8" s="47">
        <v>40</v>
      </c>
      <c r="E8" s="47" t="s">
        <v>125</v>
      </c>
      <c r="F8" s="48">
        <v>9</v>
      </c>
      <c r="G8" s="47">
        <v>3</v>
      </c>
      <c r="H8" s="47">
        <v>6</v>
      </c>
      <c r="I8" s="47" t="s">
        <v>126</v>
      </c>
      <c r="J8" s="47" t="s">
        <v>111</v>
      </c>
    </row>
    <row r="9" spans="1:10">
      <c r="A9" s="45" t="s">
        <v>52</v>
      </c>
      <c r="B9" s="46" t="s">
        <v>76</v>
      </c>
      <c r="C9" s="47" t="s">
        <v>127</v>
      </c>
      <c r="D9" s="47">
        <v>40</v>
      </c>
      <c r="E9" s="47" t="s">
        <v>128</v>
      </c>
      <c r="F9" s="47">
        <v>8</v>
      </c>
      <c r="G9" s="47">
        <v>0</v>
      </c>
      <c r="H9" s="47">
        <v>8</v>
      </c>
      <c r="I9" s="47" t="s">
        <v>129</v>
      </c>
      <c r="J9" s="47" t="s">
        <v>130</v>
      </c>
    </row>
    <row r="10" spans="1:10">
      <c r="A10" s="45" t="s">
        <v>52</v>
      </c>
      <c r="B10" s="46" t="s">
        <v>51</v>
      </c>
      <c r="C10" s="47" t="s">
        <v>124</v>
      </c>
      <c r="D10" s="47">
        <v>40</v>
      </c>
      <c r="E10" s="47" t="s">
        <v>125</v>
      </c>
      <c r="F10" s="48">
        <v>9</v>
      </c>
      <c r="G10" s="47">
        <v>2</v>
      </c>
      <c r="H10" s="47">
        <v>7</v>
      </c>
      <c r="I10" s="47" t="s">
        <v>131</v>
      </c>
      <c r="J10" s="47" t="s">
        <v>132</v>
      </c>
    </row>
    <row r="11" spans="1:10">
      <c r="A11" s="45" t="s">
        <v>55</v>
      </c>
      <c r="B11" s="46" t="s">
        <v>54</v>
      </c>
      <c r="C11" s="47" t="s">
        <v>124</v>
      </c>
      <c r="D11" s="47">
        <v>40</v>
      </c>
      <c r="E11" s="47" t="s">
        <v>125</v>
      </c>
      <c r="F11" s="48">
        <v>9</v>
      </c>
      <c r="G11" s="47">
        <v>5</v>
      </c>
      <c r="H11" s="47">
        <v>4</v>
      </c>
      <c r="I11" s="47" t="s">
        <v>133</v>
      </c>
      <c r="J11" s="47" t="s">
        <v>134</v>
      </c>
    </row>
    <row r="12" spans="1:10">
      <c r="A12" s="45" t="s">
        <v>55</v>
      </c>
      <c r="B12" s="46" t="s">
        <v>79</v>
      </c>
      <c r="C12" s="47" t="s">
        <v>124</v>
      </c>
      <c r="D12" s="47">
        <v>40</v>
      </c>
      <c r="E12" s="47" t="s">
        <v>125</v>
      </c>
      <c r="F12" s="47">
        <v>9</v>
      </c>
      <c r="G12" s="47">
        <v>5</v>
      </c>
      <c r="H12" s="47">
        <v>4</v>
      </c>
      <c r="I12" s="47" t="s">
        <v>133</v>
      </c>
      <c r="J12" s="47" t="s">
        <v>134</v>
      </c>
    </row>
    <row r="13" spans="1:10">
      <c r="A13" s="45" t="s">
        <v>58</v>
      </c>
      <c r="B13" s="46" t="s">
        <v>57</v>
      </c>
      <c r="C13" s="47" t="s">
        <v>124</v>
      </c>
      <c r="D13" s="47">
        <v>40</v>
      </c>
      <c r="E13" s="47" t="s">
        <v>125</v>
      </c>
      <c r="F13" s="47">
        <v>9</v>
      </c>
      <c r="G13" s="47">
        <v>1</v>
      </c>
      <c r="H13" s="47">
        <v>8</v>
      </c>
      <c r="I13" s="47" t="s">
        <v>124</v>
      </c>
      <c r="J13" s="47" t="s">
        <v>135</v>
      </c>
    </row>
    <row r="14" spans="1:10">
      <c r="A14" s="49" t="s">
        <v>136</v>
      </c>
      <c r="B14" s="49"/>
      <c r="C14" s="49" t="s">
        <v>137</v>
      </c>
      <c r="D14" s="50"/>
      <c r="E14" s="50"/>
      <c r="F14" s="50"/>
      <c r="G14" s="50"/>
      <c r="H14" s="50"/>
      <c r="I14" s="51" t="s">
        <v>138</v>
      </c>
      <c r="J14" s="51" t="s">
        <v>139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Bolsas_Geral</vt:lpstr>
      <vt:lpstr>Bolsas_Empresa_cc15334.6</vt:lpstr>
      <vt:lpstr>Bolsas_Sebrae_cc15335.4</vt:lpstr>
      <vt:lpstr>Bolsas_Embrapii_cc15338.9</vt:lpstr>
      <vt:lpstr>PT_Retificado2_15.2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Geziel Sena Colares</cp:lastModifiedBy>
  <dcterms:modified xsi:type="dcterms:W3CDTF">2026-10-29T00:13:04Z</dcterms:modified>
</cp:coreProperties>
</file>