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90 - IFAM - RAMI 4.0 - Conta 11.381-6\"/>
    </mc:Choice>
  </mc:AlternateContent>
  <xr:revisionPtr revIDLastSave="0" documentId="13_ncr:1_{AC91E9A3-2B60-42F9-80BA-779C9BFFDE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latório" sheetId="1" r:id="rId1"/>
    <sheet name="Projeto RAMI 4.0 - 90" sheetId="2" r:id="rId2"/>
  </sheets>
  <definedNames>
    <definedName name="_xlnm._FilterDatabase" localSheetId="1" hidden="1">'Projeto RAMI 4.0 - 90'!$B$1:$N$14</definedName>
    <definedName name="_xlnm.Print_Area" localSheetId="1">'Projeto RAMI 4.0 - 90'!$A$1:$N$26</definedName>
    <definedName name="_xlnm.Print_Titles" localSheetId="1">'Projeto RAMI 4.0 - 90'!$1:$1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</calcChain>
</file>

<file path=xl/sharedStrings.xml><?xml version="1.0" encoding="utf-8"?>
<sst xmlns="http://schemas.openxmlformats.org/spreadsheetml/2006/main" count="282" uniqueCount="46">
  <si>
    <t>Nº Patrimônio</t>
  </si>
  <si>
    <t>Produto</t>
  </si>
  <si>
    <t>Descrição</t>
  </si>
  <si>
    <t>Valor</t>
  </si>
  <si>
    <t>Logradouro</t>
  </si>
  <si>
    <t>Complemento</t>
  </si>
  <si>
    <t>Bairro</t>
  </si>
  <si>
    <t>Cep</t>
  </si>
  <si>
    <t>Cidade</t>
  </si>
  <si>
    <t>Estado</t>
  </si>
  <si>
    <t>Observacao</t>
  </si>
  <si>
    <t>Telefone</t>
  </si>
  <si>
    <t>Cód. Projeto</t>
  </si>
  <si>
    <t>Projeto</t>
  </si>
  <si>
    <t>Gestor</t>
  </si>
  <si>
    <t>Coordenador</t>
  </si>
  <si>
    <t>Situação</t>
  </si>
  <si>
    <t/>
  </si>
  <si>
    <t>Computador Desktop</t>
  </si>
  <si>
    <t>Computador servidor: Servidor Desktop Computador
Intel Xeon Quad Core 8GB HD 2TB Placa de vídeo
Geforce GT CorPC Safe</t>
  </si>
  <si>
    <t>Av. João Valério</t>
  </si>
  <si>
    <t>Sala 6</t>
  </si>
  <si>
    <t>São Geraldo</t>
  </si>
  <si>
    <t>Manaus</t>
  </si>
  <si>
    <t>Amazonas</t>
  </si>
  <si>
    <t xml:space="preserve">Assistente. Rhanna Lima
Processo de compra 4192/2022
</t>
  </si>
  <si>
    <t>IFAM 2022-005 - CITS - RAMI 4.0 (11381-6)</t>
  </si>
  <si>
    <t xml:space="preserve">Alessandra Castro Rocha </t>
  </si>
  <si>
    <t>Maria Cassiana Andrade Braga</t>
  </si>
  <si>
    <t>Registrado</t>
  </si>
  <si>
    <t>Encadernadora</t>
  </si>
  <si>
    <t>Encadernadora Duplimatic Conj.2x1: furo
quadrado; garra duplo anel p/ 15 fls,
encadernações de 110 a 270 folhas.</t>
  </si>
  <si>
    <t>PROCESSO DE COMPRA 4146/2022, Assistente de compras Rhanna Lima</t>
  </si>
  <si>
    <t xml:space="preserve">Computador </t>
  </si>
  <si>
    <t>11 (ONZE) UNIDADES de Processadorores 11ª geração de Intel® Core™ i7-11800H (8-core, cache de 24MB, até 4.6GHz). Sistema operacional: Windows 11 Home Single Language, Português (A Dell Technologies recomenda o Windows 11 Pro para empresas). Placa de vídeo: NVIDIA® GeForce® RTX™ 3060, 6GB GDDR6. Tela: Full HD de 15.6" (1920 x 1080), 165Hz, 300 nits, WVA. Armazenamento: SSD de 512GB PCIe NVMe M.2. Memória: 16GB (2x8GB), DDR4, 3200MHz; Expansível até 32GB. Bateria principal: de 6 células e 86Wh (integrada). Wireless. Placa de rede Killer™ Wireless™ AX1650 (2x2, 802.11ax) + Bluetooth</t>
  </si>
  <si>
    <t>Av. Gov. Danilo de Matos Areosa</t>
  </si>
  <si>
    <t>Distrito Industrial</t>
  </si>
  <si>
    <t>Entrega no polo de inovação, a um colaborador da FAEPI</t>
  </si>
  <si>
    <t>(92) 99373-3790</t>
  </si>
  <si>
    <t>NF</t>
  </si>
  <si>
    <t>Processador 11ª geração de Intel® Core™ i7-11800H (8-core, cache de 24MB, até 4.6GHz). Sistema operacional: Windows 11 Home Single Language, Português (A Dell Technologies recomenda o Windows 11 Pro para empresas). Placa de vídeo: NVIDIA® GeForce® RTX™ 3060, 6GB GDDR6. Tela: Full HD de 15.6" (1920 x 1080), 165Hz, 300 nits, WVA. Armazenamento: SSD de 512GB PCIe NVMe M.2. Memória: 16GB (2x8GB), DDR4, 3200MHz; Expansível até 32GB. Bateria principal: de 6 células e 86Wh (integrada). Wireless. Placa de rede Killer™ Wireless™ AX1650 (2x2, 802.11ax) + Bluetooth</t>
  </si>
  <si>
    <t>Doado</t>
  </si>
  <si>
    <t>Data Emissão da Nota</t>
  </si>
  <si>
    <t>Data do Termo de Doação</t>
  </si>
  <si>
    <t>Nº Termo de Doação</t>
  </si>
  <si>
    <t>Termo de doação nº 057-2025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</si>
</sst>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opLeftCell="J1" workbookViewId="0">
      <selection sqref="A1:Q13"/>
    </sheetView>
  </sheetViews>
  <sheetFormatPr defaultRowHeight="14.4" x14ac:dyDescent="0.3"/>
  <cols>
    <col min="1" max="1" width="14.33203125" customWidth="1"/>
    <col min="2" max="2" width="20.21875" customWidth="1"/>
    <col min="3" max="3" width="543.6640625" customWidth="1"/>
    <col min="4" max="4" width="9.109375" customWidth="1"/>
    <col min="5" max="5" width="30.109375" customWidth="1"/>
    <col min="6" max="6" width="14.109375" customWidth="1"/>
    <col min="7" max="7" width="16.6640625" customWidth="1"/>
    <col min="8" max="8" width="10.109375" customWidth="1"/>
    <col min="9" max="9" width="9.109375" customWidth="1"/>
    <col min="10" max="10" width="10.44140625" customWidth="1"/>
    <col min="11" max="11" width="64.6640625" customWidth="1"/>
    <col min="12" max="12" width="15.88671875" customWidth="1"/>
    <col min="13" max="13" width="12.5546875" customWidth="1"/>
    <col min="14" max="14" width="38.88671875" customWidth="1"/>
    <col min="15" max="15" width="23" customWidth="1"/>
    <col min="16" max="16" width="28.109375" customWidth="1"/>
    <col min="17" max="17" width="10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s="2">
        <v>7590</v>
      </c>
      <c r="E2" t="s">
        <v>20</v>
      </c>
      <c r="F2" t="s">
        <v>21</v>
      </c>
      <c r="G2" t="s">
        <v>22</v>
      </c>
      <c r="H2">
        <v>69053358</v>
      </c>
      <c r="I2" t="s">
        <v>23</v>
      </c>
      <c r="J2" t="s">
        <v>24</v>
      </c>
      <c r="K2" t="s">
        <v>25</v>
      </c>
      <c r="L2" t="s">
        <v>17</v>
      </c>
      <c r="M2">
        <v>90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">
      <c r="A3" t="s">
        <v>17</v>
      </c>
      <c r="B3" t="s">
        <v>30</v>
      </c>
      <c r="C3" t="s">
        <v>31</v>
      </c>
      <c r="D3" s="2">
        <v>1899</v>
      </c>
      <c r="E3" t="s">
        <v>20</v>
      </c>
      <c r="F3" t="s">
        <v>21</v>
      </c>
      <c r="G3" t="s">
        <v>22</v>
      </c>
      <c r="H3">
        <v>69053358</v>
      </c>
      <c r="I3" t="s">
        <v>23</v>
      </c>
      <c r="J3" t="s">
        <v>24</v>
      </c>
      <c r="K3" t="s">
        <v>32</v>
      </c>
      <c r="L3" t="s">
        <v>17</v>
      </c>
      <c r="M3">
        <v>90</v>
      </c>
      <c r="N3" t="s">
        <v>26</v>
      </c>
      <c r="O3" t="s">
        <v>27</v>
      </c>
      <c r="P3" t="s">
        <v>28</v>
      </c>
      <c r="Q3" t="s">
        <v>29</v>
      </c>
    </row>
    <row r="4" spans="1:17" x14ac:dyDescent="0.3">
      <c r="A4" t="s">
        <v>17</v>
      </c>
      <c r="B4" t="s">
        <v>33</v>
      </c>
      <c r="C4" t="s">
        <v>34</v>
      </c>
      <c r="D4" s="2">
        <v>8500</v>
      </c>
      <c r="E4" t="s">
        <v>35</v>
      </c>
      <c r="F4" t="s">
        <v>17</v>
      </c>
      <c r="G4" t="s">
        <v>36</v>
      </c>
      <c r="H4">
        <v>69075351</v>
      </c>
      <c r="I4" t="s">
        <v>23</v>
      </c>
      <c r="J4" t="s">
        <v>24</v>
      </c>
      <c r="K4" t="s">
        <v>37</v>
      </c>
      <c r="L4" t="s">
        <v>38</v>
      </c>
      <c r="M4">
        <v>90</v>
      </c>
      <c r="N4" t="s">
        <v>26</v>
      </c>
      <c r="O4" t="s">
        <v>27</v>
      </c>
      <c r="P4" t="s">
        <v>28</v>
      </c>
      <c r="Q4" t="s">
        <v>29</v>
      </c>
    </row>
    <row r="5" spans="1:17" x14ac:dyDescent="0.3">
      <c r="A5" t="s">
        <v>17</v>
      </c>
      <c r="B5" t="s">
        <v>33</v>
      </c>
      <c r="C5" t="s">
        <v>34</v>
      </c>
      <c r="D5" s="2">
        <v>8500</v>
      </c>
      <c r="E5" t="s">
        <v>35</v>
      </c>
      <c r="F5" t="s">
        <v>17</v>
      </c>
      <c r="G5" t="s">
        <v>36</v>
      </c>
      <c r="H5">
        <v>69075351</v>
      </c>
      <c r="I5" t="s">
        <v>23</v>
      </c>
      <c r="J5" t="s">
        <v>24</v>
      </c>
      <c r="K5" t="s">
        <v>37</v>
      </c>
      <c r="L5" t="s">
        <v>38</v>
      </c>
      <c r="M5">
        <v>90</v>
      </c>
      <c r="N5" t="s">
        <v>26</v>
      </c>
      <c r="O5" t="s">
        <v>27</v>
      </c>
      <c r="P5" t="s">
        <v>28</v>
      </c>
      <c r="Q5" t="s">
        <v>29</v>
      </c>
    </row>
    <row r="6" spans="1:17" x14ac:dyDescent="0.3">
      <c r="A6" t="s">
        <v>17</v>
      </c>
      <c r="B6" t="s">
        <v>33</v>
      </c>
      <c r="C6" t="s">
        <v>34</v>
      </c>
      <c r="D6" s="2">
        <v>8500</v>
      </c>
      <c r="E6" t="s">
        <v>35</v>
      </c>
      <c r="F6" t="s">
        <v>17</v>
      </c>
      <c r="G6" t="s">
        <v>36</v>
      </c>
      <c r="H6">
        <v>69075351</v>
      </c>
      <c r="I6" t="s">
        <v>23</v>
      </c>
      <c r="J6" t="s">
        <v>24</v>
      </c>
      <c r="K6" t="s">
        <v>37</v>
      </c>
      <c r="L6" t="s">
        <v>38</v>
      </c>
      <c r="M6">
        <v>90</v>
      </c>
      <c r="N6" t="s">
        <v>26</v>
      </c>
      <c r="O6" t="s">
        <v>27</v>
      </c>
      <c r="P6" t="s">
        <v>28</v>
      </c>
      <c r="Q6" t="s">
        <v>29</v>
      </c>
    </row>
    <row r="7" spans="1:17" x14ac:dyDescent="0.3">
      <c r="A7" t="s">
        <v>17</v>
      </c>
      <c r="B7" t="s">
        <v>33</v>
      </c>
      <c r="C7" t="s">
        <v>34</v>
      </c>
      <c r="D7" s="2">
        <v>8500</v>
      </c>
      <c r="E7" t="s">
        <v>35</v>
      </c>
      <c r="F7" t="s">
        <v>17</v>
      </c>
      <c r="G7" t="s">
        <v>36</v>
      </c>
      <c r="H7">
        <v>69075351</v>
      </c>
      <c r="I7" t="s">
        <v>23</v>
      </c>
      <c r="J7" t="s">
        <v>24</v>
      </c>
      <c r="K7" t="s">
        <v>37</v>
      </c>
      <c r="L7" t="s">
        <v>38</v>
      </c>
      <c r="M7">
        <v>90</v>
      </c>
      <c r="N7" t="s">
        <v>26</v>
      </c>
      <c r="O7" t="s">
        <v>27</v>
      </c>
      <c r="P7" t="s">
        <v>28</v>
      </c>
      <c r="Q7" t="s">
        <v>29</v>
      </c>
    </row>
    <row r="8" spans="1:17" x14ac:dyDescent="0.3">
      <c r="A8" t="s">
        <v>17</v>
      </c>
      <c r="B8" t="s">
        <v>33</v>
      </c>
      <c r="C8" t="s">
        <v>34</v>
      </c>
      <c r="D8" s="2">
        <v>8500</v>
      </c>
      <c r="E8" t="s">
        <v>35</v>
      </c>
      <c r="F8" t="s">
        <v>17</v>
      </c>
      <c r="G8" t="s">
        <v>36</v>
      </c>
      <c r="H8">
        <v>69075351</v>
      </c>
      <c r="I8" t="s">
        <v>23</v>
      </c>
      <c r="J8" t="s">
        <v>24</v>
      </c>
      <c r="K8" t="s">
        <v>37</v>
      </c>
      <c r="L8" t="s">
        <v>38</v>
      </c>
      <c r="M8">
        <v>90</v>
      </c>
      <c r="N8" t="s">
        <v>26</v>
      </c>
      <c r="O8" t="s">
        <v>27</v>
      </c>
      <c r="P8" t="s">
        <v>28</v>
      </c>
      <c r="Q8" t="s">
        <v>29</v>
      </c>
    </row>
    <row r="9" spans="1:17" x14ac:dyDescent="0.3">
      <c r="A9" t="s">
        <v>17</v>
      </c>
      <c r="B9" t="s">
        <v>33</v>
      </c>
      <c r="C9" t="s">
        <v>34</v>
      </c>
      <c r="D9" s="2">
        <v>8500</v>
      </c>
      <c r="E9" t="s">
        <v>35</v>
      </c>
      <c r="F9" t="s">
        <v>17</v>
      </c>
      <c r="G9" t="s">
        <v>36</v>
      </c>
      <c r="H9">
        <v>69075351</v>
      </c>
      <c r="I9" t="s">
        <v>23</v>
      </c>
      <c r="J9" t="s">
        <v>24</v>
      </c>
      <c r="K9" t="s">
        <v>37</v>
      </c>
      <c r="L9" t="s">
        <v>38</v>
      </c>
      <c r="M9">
        <v>90</v>
      </c>
      <c r="N9" t="s">
        <v>26</v>
      </c>
      <c r="O9" t="s">
        <v>27</v>
      </c>
      <c r="P9" t="s">
        <v>28</v>
      </c>
      <c r="Q9" t="s">
        <v>29</v>
      </c>
    </row>
    <row r="10" spans="1:17" x14ac:dyDescent="0.3">
      <c r="A10" t="s">
        <v>17</v>
      </c>
      <c r="B10" t="s">
        <v>33</v>
      </c>
      <c r="C10" t="s">
        <v>34</v>
      </c>
      <c r="D10" s="2">
        <v>8500</v>
      </c>
      <c r="E10" t="s">
        <v>35</v>
      </c>
      <c r="F10" t="s">
        <v>17</v>
      </c>
      <c r="G10" t="s">
        <v>36</v>
      </c>
      <c r="H10">
        <v>69075351</v>
      </c>
      <c r="I10" t="s">
        <v>23</v>
      </c>
      <c r="J10" t="s">
        <v>24</v>
      </c>
      <c r="K10" t="s">
        <v>37</v>
      </c>
      <c r="L10" t="s">
        <v>38</v>
      </c>
      <c r="M10">
        <v>90</v>
      </c>
      <c r="N10" t="s">
        <v>26</v>
      </c>
      <c r="O10" t="s">
        <v>27</v>
      </c>
      <c r="P10" t="s">
        <v>28</v>
      </c>
      <c r="Q10" t="s">
        <v>29</v>
      </c>
    </row>
    <row r="11" spans="1:17" x14ac:dyDescent="0.3">
      <c r="A11" t="s">
        <v>17</v>
      </c>
      <c r="B11" t="s">
        <v>33</v>
      </c>
      <c r="C11" t="s">
        <v>34</v>
      </c>
      <c r="D11" s="2">
        <v>8500</v>
      </c>
      <c r="E11" t="s">
        <v>35</v>
      </c>
      <c r="F11" t="s">
        <v>17</v>
      </c>
      <c r="G11" t="s">
        <v>36</v>
      </c>
      <c r="H11">
        <v>69075351</v>
      </c>
      <c r="I11" t="s">
        <v>23</v>
      </c>
      <c r="J11" t="s">
        <v>24</v>
      </c>
      <c r="K11" t="s">
        <v>37</v>
      </c>
      <c r="L11" t="s">
        <v>38</v>
      </c>
      <c r="M11">
        <v>90</v>
      </c>
      <c r="N11" t="s">
        <v>26</v>
      </c>
      <c r="O11" t="s">
        <v>27</v>
      </c>
      <c r="P11" t="s">
        <v>28</v>
      </c>
      <c r="Q11" t="s">
        <v>29</v>
      </c>
    </row>
    <row r="12" spans="1:17" x14ac:dyDescent="0.3">
      <c r="A12" t="s">
        <v>17</v>
      </c>
      <c r="B12" t="s">
        <v>33</v>
      </c>
      <c r="C12" t="s">
        <v>34</v>
      </c>
      <c r="D12" s="2">
        <v>8500</v>
      </c>
      <c r="E12" t="s">
        <v>35</v>
      </c>
      <c r="F12" t="s">
        <v>17</v>
      </c>
      <c r="G12" t="s">
        <v>36</v>
      </c>
      <c r="H12">
        <v>69075351</v>
      </c>
      <c r="I12" t="s">
        <v>23</v>
      </c>
      <c r="J12" t="s">
        <v>24</v>
      </c>
      <c r="K12" t="s">
        <v>37</v>
      </c>
      <c r="L12" t="s">
        <v>38</v>
      </c>
      <c r="M12">
        <v>90</v>
      </c>
      <c r="N12" t="s">
        <v>26</v>
      </c>
      <c r="O12" t="s">
        <v>27</v>
      </c>
      <c r="P12" t="s">
        <v>28</v>
      </c>
      <c r="Q12" t="s">
        <v>29</v>
      </c>
    </row>
    <row r="13" spans="1:17" x14ac:dyDescent="0.3">
      <c r="A13" t="s">
        <v>17</v>
      </c>
      <c r="B13" t="s">
        <v>33</v>
      </c>
      <c r="C13" t="s">
        <v>34</v>
      </c>
      <c r="D13" s="2">
        <v>8500</v>
      </c>
      <c r="E13" t="s">
        <v>35</v>
      </c>
      <c r="F13" t="s">
        <v>17</v>
      </c>
      <c r="G13" t="s">
        <v>36</v>
      </c>
      <c r="H13">
        <v>69075351</v>
      </c>
      <c r="I13" t="s">
        <v>23</v>
      </c>
      <c r="J13" t="s">
        <v>24</v>
      </c>
      <c r="K13" t="s">
        <v>37</v>
      </c>
      <c r="L13" t="s">
        <v>38</v>
      </c>
      <c r="M13">
        <v>90</v>
      </c>
      <c r="N13" t="s">
        <v>26</v>
      </c>
      <c r="O13" t="s">
        <v>27</v>
      </c>
      <c r="P13" t="s">
        <v>28</v>
      </c>
      <c r="Q13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E97A-AF20-4FC1-BC0E-24AAF761ABC8}">
  <dimension ref="B1:N14"/>
  <sheetViews>
    <sheetView showGridLines="0" tabSelected="1" zoomScale="80" zoomScaleNormal="8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.21875" customWidth="1"/>
    <col min="2" max="2" width="12" customWidth="1"/>
    <col min="3" max="3" width="15.21875" customWidth="1"/>
    <col min="4" max="4" width="107.109375" customWidth="1"/>
    <col min="5" max="5" width="11.109375" customWidth="1"/>
    <col min="7" max="7" width="17" customWidth="1"/>
    <col min="8" max="8" width="13.88671875" customWidth="1"/>
    <col min="9" max="9" width="14.88671875" customWidth="1"/>
    <col min="10" max="10" width="11.33203125" customWidth="1"/>
    <col min="12" max="12" width="10.77734375" customWidth="1"/>
    <col min="13" max="13" width="12.109375" customWidth="1"/>
    <col min="14" max="14" width="12.6640625" customWidth="1"/>
  </cols>
  <sheetData>
    <row r="1" spans="2:14" ht="57.6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7" t="s">
        <v>39</v>
      </c>
      <c r="L1" s="12" t="s">
        <v>42</v>
      </c>
      <c r="M1" s="12" t="s">
        <v>43</v>
      </c>
      <c r="N1" s="12" t="s">
        <v>44</v>
      </c>
    </row>
    <row r="2" spans="2:14" s="5" customFormat="1" ht="100.05" customHeight="1" x14ac:dyDescent="0.3">
      <c r="B2" s="4">
        <v>2211</v>
      </c>
      <c r="C2" s="6" t="s">
        <v>18</v>
      </c>
      <c r="D2" s="6" t="s">
        <v>19</v>
      </c>
      <c r="E2" s="11">
        <v>7590</v>
      </c>
      <c r="F2" s="6">
        <v>90</v>
      </c>
      <c r="G2" s="6" t="s">
        <v>26</v>
      </c>
      <c r="H2" s="6" t="s">
        <v>27</v>
      </c>
      <c r="I2" s="6" t="s">
        <v>28</v>
      </c>
      <c r="J2" s="6" t="s">
        <v>41</v>
      </c>
      <c r="K2" s="10">
        <v>316</v>
      </c>
      <c r="L2" s="13">
        <v>44691</v>
      </c>
      <c r="M2" s="13">
        <v>46001</v>
      </c>
      <c r="N2" s="6" t="s">
        <v>45</v>
      </c>
    </row>
    <row r="3" spans="2:14" s="5" customFormat="1" ht="100.05" customHeight="1" x14ac:dyDescent="0.3">
      <c r="B3" s="4">
        <v>2212</v>
      </c>
      <c r="C3" s="6" t="s">
        <v>30</v>
      </c>
      <c r="D3" s="6" t="s">
        <v>31</v>
      </c>
      <c r="E3" s="11">
        <v>1899</v>
      </c>
      <c r="F3" s="6">
        <v>90</v>
      </c>
      <c r="G3" s="6" t="s">
        <v>26</v>
      </c>
      <c r="H3" s="6" t="s">
        <v>27</v>
      </c>
      <c r="I3" s="6" t="s">
        <v>28</v>
      </c>
      <c r="J3" s="6" t="s">
        <v>41</v>
      </c>
      <c r="K3" s="10">
        <v>680</v>
      </c>
      <c r="L3" s="13">
        <v>44694</v>
      </c>
      <c r="M3" s="13">
        <v>46001</v>
      </c>
      <c r="N3" s="6" t="s">
        <v>45</v>
      </c>
    </row>
    <row r="4" spans="2:14" s="5" customFormat="1" ht="100.05" customHeight="1" x14ac:dyDescent="0.3">
      <c r="B4" s="4">
        <v>2213</v>
      </c>
      <c r="C4" s="6" t="s">
        <v>33</v>
      </c>
      <c r="D4" s="8" t="s">
        <v>40</v>
      </c>
      <c r="E4" s="11">
        <v>8500</v>
      </c>
      <c r="F4" s="6">
        <v>90</v>
      </c>
      <c r="G4" s="6" t="s">
        <v>26</v>
      </c>
      <c r="H4" s="6" t="s">
        <v>27</v>
      </c>
      <c r="I4" s="6" t="s">
        <v>28</v>
      </c>
      <c r="J4" s="6" t="s">
        <v>41</v>
      </c>
      <c r="K4" s="10">
        <v>42935</v>
      </c>
      <c r="L4" s="13">
        <v>44831</v>
      </c>
      <c r="M4" s="13">
        <v>46001</v>
      </c>
      <c r="N4" s="6" t="s">
        <v>45</v>
      </c>
    </row>
    <row r="5" spans="2:14" s="5" customFormat="1" ht="100.05" customHeight="1" x14ac:dyDescent="0.3">
      <c r="B5" s="4">
        <v>2214</v>
      </c>
      <c r="C5" s="6" t="s">
        <v>33</v>
      </c>
      <c r="D5" s="8" t="s">
        <v>40</v>
      </c>
      <c r="E5" s="11">
        <v>8500</v>
      </c>
      <c r="F5" s="6">
        <v>90</v>
      </c>
      <c r="G5" s="6" t="s">
        <v>26</v>
      </c>
      <c r="H5" s="6" t="s">
        <v>27</v>
      </c>
      <c r="I5" s="6" t="s">
        <v>28</v>
      </c>
      <c r="J5" s="6" t="s">
        <v>41</v>
      </c>
      <c r="K5" s="10">
        <v>42935</v>
      </c>
      <c r="L5" s="13">
        <v>44831</v>
      </c>
      <c r="M5" s="13">
        <v>46001</v>
      </c>
      <c r="N5" s="6" t="s">
        <v>45</v>
      </c>
    </row>
    <row r="6" spans="2:14" s="5" customFormat="1" ht="100.05" customHeight="1" x14ac:dyDescent="0.3">
      <c r="B6" s="4">
        <v>2215</v>
      </c>
      <c r="C6" s="6" t="s">
        <v>33</v>
      </c>
      <c r="D6" s="8" t="s">
        <v>40</v>
      </c>
      <c r="E6" s="11">
        <v>8500</v>
      </c>
      <c r="F6" s="6">
        <v>90</v>
      </c>
      <c r="G6" s="6" t="s">
        <v>26</v>
      </c>
      <c r="H6" s="6" t="s">
        <v>27</v>
      </c>
      <c r="I6" s="6" t="s">
        <v>28</v>
      </c>
      <c r="J6" s="6" t="s">
        <v>41</v>
      </c>
      <c r="K6" s="10">
        <v>42935</v>
      </c>
      <c r="L6" s="13">
        <v>44831</v>
      </c>
      <c r="M6" s="13">
        <v>46001</v>
      </c>
      <c r="N6" s="6" t="s">
        <v>45</v>
      </c>
    </row>
    <row r="7" spans="2:14" s="5" customFormat="1" ht="100.05" customHeight="1" x14ac:dyDescent="0.3">
      <c r="B7" s="4">
        <v>2216</v>
      </c>
      <c r="C7" s="6" t="s">
        <v>33</v>
      </c>
      <c r="D7" s="8" t="s">
        <v>40</v>
      </c>
      <c r="E7" s="11">
        <v>8500</v>
      </c>
      <c r="F7" s="6">
        <v>90</v>
      </c>
      <c r="G7" s="6" t="s">
        <v>26</v>
      </c>
      <c r="H7" s="6" t="s">
        <v>27</v>
      </c>
      <c r="I7" s="6" t="s">
        <v>28</v>
      </c>
      <c r="J7" s="6" t="s">
        <v>41</v>
      </c>
      <c r="K7" s="10">
        <v>42935</v>
      </c>
      <c r="L7" s="13">
        <v>44831</v>
      </c>
      <c r="M7" s="13">
        <v>46001</v>
      </c>
      <c r="N7" s="6" t="s">
        <v>45</v>
      </c>
    </row>
    <row r="8" spans="2:14" s="5" customFormat="1" ht="100.05" customHeight="1" x14ac:dyDescent="0.3">
      <c r="B8" s="4">
        <v>2217</v>
      </c>
      <c r="C8" s="6" t="s">
        <v>33</v>
      </c>
      <c r="D8" s="8" t="s">
        <v>40</v>
      </c>
      <c r="E8" s="11">
        <v>8500</v>
      </c>
      <c r="F8" s="6">
        <v>90</v>
      </c>
      <c r="G8" s="6" t="s">
        <v>26</v>
      </c>
      <c r="H8" s="6" t="s">
        <v>27</v>
      </c>
      <c r="I8" s="6" t="s">
        <v>28</v>
      </c>
      <c r="J8" s="6" t="s">
        <v>41</v>
      </c>
      <c r="K8" s="10">
        <v>42935</v>
      </c>
      <c r="L8" s="13">
        <v>44831</v>
      </c>
      <c r="M8" s="13">
        <v>46001</v>
      </c>
      <c r="N8" s="6" t="s">
        <v>45</v>
      </c>
    </row>
    <row r="9" spans="2:14" s="5" customFormat="1" ht="100.05" customHeight="1" x14ac:dyDescent="0.3">
      <c r="B9" s="4">
        <v>2218</v>
      </c>
      <c r="C9" s="6" t="s">
        <v>33</v>
      </c>
      <c r="D9" s="8" t="s">
        <v>40</v>
      </c>
      <c r="E9" s="11">
        <v>8500</v>
      </c>
      <c r="F9" s="6">
        <v>90</v>
      </c>
      <c r="G9" s="6" t="s">
        <v>26</v>
      </c>
      <c r="H9" s="6" t="s">
        <v>27</v>
      </c>
      <c r="I9" s="6" t="s">
        <v>28</v>
      </c>
      <c r="J9" s="6" t="s">
        <v>41</v>
      </c>
      <c r="K9" s="10">
        <v>42935</v>
      </c>
      <c r="L9" s="13">
        <v>44831</v>
      </c>
      <c r="M9" s="13">
        <v>46001</v>
      </c>
      <c r="N9" s="6" t="s">
        <v>45</v>
      </c>
    </row>
    <row r="10" spans="2:14" s="5" customFormat="1" ht="100.05" customHeight="1" x14ac:dyDescent="0.3">
      <c r="B10" s="4">
        <v>2219</v>
      </c>
      <c r="C10" s="6" t="s">
        <v>33</v>
      </c>
      <c r="D10" s="8" t="s">
        <v>40</v>
      </c>
      <c r="E10" s="11">
        <v>8500</v>
      </c>
      <c r="F10" s="6">
        <v>90</v>
      </c>
      <c r="G10" s="6" t="s">
        <v>26</v>
      </c>
      <c r="H10" s="6" t="s">
        <v>27</v>
      </c>
      <c r="I10" s="6" t="s">
        <v>28</v>
      </c>
      <c r="J10" s="6" t="s">
        <v>41</v>
      </c>
      <c r="K10" s="10">
        <v>42935</v>
      </c>
      <c r="L10" s="13">
        <v>44831</v>
      </c>
      <c r="M10" s="13">
        <v>46001</v>
      </c>
      <c r="N10" s="6" t="s">
        <v>45</v>
      </c>
    </row>
    <row r="11" spans="2:14" s="5" customFormat="1" ht="100.05" customHeight="1" x14ac:dyDescent="0.3">
      <c r="B11" s="4">
        <v>2220</v>
      </c>
      <c r="C11" s="6" t="s">
        <v>33</v>
      </c>
      <c r="D11" s="8" t="s">
        <v>40</v>
      </c>
      <c r="E11" s="11">
        <v>8500</v>
      </c>
      <c r="F11" s="6">
        <v>90</v>
      </c>
      <c r="G11" s="6" t="s">
        <v>26</v>
      </c>
      <c r="H11" s="6" t="s">
        <v>27</v>
      </c>
      <c r="I11" s="6" t="s">
        <v>28</v>
      </c>
      <c r="J11" s="6" t="s">
        <v>41</v>
      </c>
      <c r="K11" s="10">
        <v>42935</v>
      </c>
      <c r="L11" s="13">
        <v>44831</v>
      </c>
      <c r="M11" s="13">
        <v>46001</v>
      </c>
      <c r="N11" s="6" t="s">
        <v>45</v>
      </c>
    </row>
    <row r="12" spans="2:14" s="5" customFormat="1" ht="100.05" customHeight="1" x14ac:dyDescent="0.3">
      <c r="B12" s="4">
        <v>2221</v>
      </c>
      <c r="C12" s="6" t="s">
        <v>33</v>
      </c>
      <c r="D12" s="8" t="s">
        <v>40</v>
      </c>
      <c r="E12" s="11">
        <v>8500</v>
      </c>
      <c r="F12" s="6">
        <v>90</v>
      </c>
      <c r="G12" s="6" t="s">
        <v>26</v>
      </c>
      <c r="H12" s="6" t="s">
        <v>27</v>
      </c>
      <c r="I12" s="6" t="s">
        <v>28</v>
      </c>
      <c r="J12" s="6" t="s">
        <v>41</v>
      </c>
      <c r="K12" s="10">
        <v>42935</v>
      </c>
      <c r="L12" s="13">
        <v>44831</v>
      </c>
      <c r="M12" s="13">
        <v>46001</v>
      </c>
      <c r="N12" s="6" t="s">
        <v>45</v>
      </c>
    </row>
    <row r="13" spans="2:14" s="5" customFormat="1" ht="100.05" customHeight="1" x14ac:dyDescent="0.3">
      <c r="B13" s="4">
        <v>2222</v>
      </c>
      <c r="C13" s="6" t="s">
        <v>33</v>
      </c>
      <c r="D13" s="8" t="s">
        <v>40</v>
      </c>
      <c r="E13" s="11">
        <v>8500</v>
      </c>
      <c r="F13" s="6">
        <v>90</v>
      </c>
      <c r="G13" s="6" t="s">
        <v>26</v>
      </c>
      <c r="H13" s="6" t="s">
        <v>27</v>
      </c>
      <c r="I13" s="6" t="s">
        <v>28</v>
      </c>
      <c r="J13" s="6" t="s">
        <v>41</v>
      </c>
      <c r="K13" s="10">
        <v>42935</v>
      </c>
      <c r="L13" s="13">
        <v>44831</v>
      </c>
      <c r="M13" s="13">
        <v>46001</v>
      </c>
      <c r="N13" s="6" t="s">
        <v>45</v>
      </c>
    </row>
    <row r="14" spans="2:14" x14ac:dyDescent="0.3">
      <c r="E14" s="9">
        <f>SUM(E2:E13)</f>
        <v>94489</v>
      </c>
    </row>
  </sheetData>
  <autoFilter ref="B1:N14" xr:uid="{2E8DE97A-AF20-4FC1-BC0E-24AAF761ABC8}"/>
  <pageMargins left="0.31496062992125984" right="0.31496062992125984" top="0.39370078740157483" bottom="0.39370078740157483" header="0.11811023622047245" footer="0.11811023622047245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Relatório</vt:lpstr>
      <vt:lpstr>Projeto RAMI 4.0 - 90</vt:lpstr>
      <vt:lpstr>'Projeto RAMI 4.0 - 90'!Area_de_impressao</vt:lpstr>
      <vt:lpstr>'Projeto RAMI 4.0 - 90'!Titulos_de_impressao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2025-12-11T01:33:51Z</cp:lastPrinted>
  <dcterms:modified xsi:type="dcterms:W3CDTF">2025-12-23T18:01:36Z</dcterms:modified>
</cp:coreProperties>
</file>