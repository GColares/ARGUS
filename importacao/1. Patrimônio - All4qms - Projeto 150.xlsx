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J:\Meu Drive\PRESTAÇÃO DE CONTAS\1. Imobilizado Auditoria\Imobilizado - Raymisson\IFAM Imobilizado - Em Processamento\Projeto 150 - IFAM - All4qms - Conta 12.125-8\"/>
    </mc:Choice>
  </mc:AlternateContent>
  <xr:revisionPtr revIDLastSave="0" documentId="13_ncr:1_{B65F0E40-6FD9-4B71-B481-2D51A150C670}" xr6:coauthVersionLast="47" xr6:coauthVersionMax="47" xr10:uidLastSave="{00000000-0000-0000-0000-000000000000}"/>
  <bookViews>
    <workbookView xWindow="-108" yWindow="-108" windowWidth="23256" windowHeight="12456" xr2:uid="{00000000-000D-0000-FFFF-FFFF00000000}"/>
  </bookViews>
  <sheets>
    <sheet name="Relatório" sheetId="1" r:id="rId1"/>
  </sheets>
  <definedNames>
    <definedName name="_xlnm._FilterDatabase" localSheetId="0" hidden="1">Relatório!$A$1:$J$22</definedName>
    <definedName name="_xlnm.Print_Area" localSheetId="0">Relatório!$A$1:$N$26</definedName>
    <definedName name="_xlnm.Print_Titles" localSheetId="0">Relatório!$1:$1</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3" i="1" l="1"/>
</calcChain>
</file>

<file path=xl/sharedStrings.xml><?xml version="1.0" encoding="utf-8"?>
<sst xmlns="http://schemas.openxmlformats.org/spreadsheetml/2006/main" count="160" uniqueCount="34">
  <si>
    <t>Nº Patrimônio</t>
  </si>
  <si>
    <t>Produto</t>
  </si>
  <si>
    <t>Descrição</t>
  </si>
  <si>
    <t>Valor</t>
  </si>
  <si>
    <t>Cód. Projeto</t>
  </si>
  <si>
    <t>Projeto</t>
  </si>
  <si>
    <t>Gestor</t>
  </si>
  <si>
    <t>Coordenador</t>
  </si>
  <si>
    <t>Situação</t>
  </si>
  <si>
    <t>Computador Notebook</t>
  </si>
  <si>
    <t>Processador; 12ª geração Intel® Core™ i7-12700H (14-core, cache de 24MB 
até 4.7 GHz);Sistema operacional;Windows 11 Pro, Português;Placa de 
vídeo ;NVIDIA® GeForce RTX™ 3050 Ti, 4GB GDDR6; Tela Full HD+ de 16" 
(1920 x 1200), 250nits, WVA Memória * Memória de 16GB DDR5 (1x 8GB 
soldada + 1x 8GB) 4800MHz; Expansível até 40GB; Armazenamento * SSD 
de 512GB PCIe NVMe M.2; Teclado Teclado retroiluminado em Português, 
com leitor de impressão digital Portas 2 portas USB 3.2 de 1ª geração; 1 
porta Thunderbolt™ 4 com DisplayPort™ e Power, Delivery ;1 entrada 
universal de headset ;1 porta HDMI 2.0; 1 porta para adaptador de energia; 
1 porta Ethernet RJ45 Slots; 1 slot de cartão SD Dimensões; Altura: 1,7 cm a 
1,9 cm; Largura: 35,68 cm; Profundidade: 25,19 cm; Peso inicial: 2,02 kg; 
Câmera; Câmera Full HD de 1080p a 30 fps; Microfones de array dual Áudio 
e alto-falantes; Alto-falantes estéreo duplos (tweeter + woofer), Realtek 
ALC1319D, 2 W x 2 = 4 W no total Chassi Material do chassi externo 
Alumínio Wireless * Placa de rede Intel® Killer™ Wi-Fi 6 1675 (AX211) 2x2 + 
Bluetooth 5.2 Bateria principal Bateria de 3 células e 55Whr (integrada) 
Energia AdaptadorCA 60 Watts Type-C (Bivolt).</t>
  </si>
  <si>
    <t>IFAM 2023-003 - TELLESCOM - ALL4QMS (12125-8)</t>
  </si>
  <si>
    <t>Letícia Paulliny Araújo do Nascimento</t>
  </si>
  <si>
    <t>Laura Michaella Batista Ribeiro</t>
  </si>
  <si>
    <t>Processador; 12ª geração Intel® Core™ i7-12700H (14-core, cache de
24MB até 4.7 GHz);Sistema operacional;Windows 11 Pro,
Português;Placa de vídeo ;NVIDIA® GeForce RTX™ 3050 Ti, 4GB
GDDR6; Tela Full HD+ de 16" (1920 x 1200), 250nits, WVA Memória *
Memória de 16GB DDR5 (1x 8GB soldada + 1x 8GB) 4800MHz;
Expansível até 40GB; Armazenamento * SSD de 512GB PCIe NVMe
M.2; Teclado Teclado retroiluminado em Português, com leitor de
impressão digital Portas 2 portas USB 3.2 de 1ª geração; 1 porta
Thunderbolt™ 4 com DisplayPort™ e Power, Delivery ;1 entrada
universal de headset ;1 porta HDMI 2.0; 1 porta para adaptador de
energia; 1 porta Ethernet RJ45 Slots; 1 slot de cartão SD Dimensões;
Altura: 1,7 cm a 1,9 cm; Largura: 35,68 cm; Profundidade: 25,19 cm;
Peso inicial: 2,02 kg; Câmera; Câmera Full HD de 1080p a 30 fps;
Microfones de array dual Áudio e alto-falantes; Alto-falantes estéreo
duplos (tweeter + woofer), Realtek ALC1319D, 2 W x 2 = 4 W no total
Chassi Material do chassi externo Alumínio Wireless * Placa de rede
Intel® Killer™ Wi-Fi 6 1675 (AX211) 2x2 + Bluetooth 5.2 Bateria
principal Bateria de 3 células e 55Whr (integrada) Energia Adaptador
CA 60 Watts Type-C (Bivolt).</t>
  </si>
  <si>
    <t xml:space="preserve">Monitor LCD </t>
  </si>
  <si>
    <t>Monitor LCD com retroiluminação LED / matriz ativa TFT;
AMD FreeSync Premium Pro; USB 3.2 Gen 1 núcleo; 
WQHD 3440 x 1440 (DisplayPort: 144 Hz, HDMI: 100 Hz); 
Sistema de iluminação de aresta LED, sem mercúrio, 
vidro sem arsênico, compatível com HDR 400</t>
  </si>
  <si>
    <t>Modelo: MacBook Air; Referência: MLXY3BZ/A; 
Processador: Chip M2 da Apple, GPU de 8 núcleos, CPU de 
8 núcleos (4 de desempenho e 4 de eficiência) Neural 
Engine de 16 núcleos 100 GB/s de largura de banda da 
memória Armazenamento: SSD 256GB Memória: 8GB 
Câmera: FaceTime HD de 1080p Touch ID: Sensor Touch 
ID Liquid Retina Tela de 13,6 polegadas (na diagonal) 
retroiluminada por LED, com tecnologia IPS; 1 resolução 
nativa de 2560 x 1664 com 224 pixels por polegada e 
suporte a um bilhão de cores 500 nits de brilho Ampla 
tonalidade de cores (P3) Tecnologia True Tone Porta 
MagSafe 3 para recarga Entrada para fones de ouvido de 
3,5 mm Duas portas Thunderbolt / USB 4 compatíveis 
com:Recarga, DisplayPort, Thunderbolt 3 (até 40 
Gb/s) ,USB 4 (até 40 Gb/s) ,USB 3.1 Gen 2 (até 10 
Gb/s) Rede Wi-Fi 6 802.11ax Compatível com IEEE 
802.11a/b/g/n/ac Tecnologia Bluetooth 5.0 Até 18 horas 
de reprodução de vídeo no app Apple TV até 15 horas de 
navegação em rede sem fio Bateria de polímero de lítio de 
52,6 watts/hora Adaptador de energia USB-C de 30W 
(incluído na versão com chip M2 e GPU de 8 núcleos)
Adaptador de energia USB-C de 35W com duas portas 
(incluído na versão com chip M2, GPU de 10 núcleos e 512 
GB de armazenamento; com possibilidade de configuração 
na versão com chip M2 e GPU de 8 núcleos)Cabo de USB-C 
para MagSafe 3 Compatível com recarga rápida com 
adaptador de energia USB-C de 67W</t>
  </si>
  <si>
    <t>Monitor 27"</t>
  </si>
  <si>
    <t>Monitor Gamer 27” G2723H LCD com retroiluminação 
LED / matriz ativa; Conector de alimentação | 2. Slot de 
trava de segurança (com base no Kensington Security 
Slot™) | 3. Porta HDMI 1.0 | 4. Trava de segurança do 
suporte | 5. Porta HDMI 2.0 | 6. DisplayPort | 7. Porta 
USB-B upstream | 8. Porta USB-B 3.2 upstream | 9. Porta 
USB-A 3.2 downstream | 10. Porta USB-A 3.2 
downstream (BC 1.2) | 11. Conector de fones de ouvido | 
12. Porta USB-A 3.2 downstream (BC 1.2); Cabo de 
alimentação | Cabo HDMI | Cabo DP | Cabo USB; 1. 
Altura (compactada): 393,85 mm / Altura (estendida): 
523,85 mm | 2. Largura: 611,60 mm | 3. Profundidade: 
200,30 mm; 1. Altura: 363,41 mm | 2. Largura: 611,60 
mm | 3. Profundidade: 66,27 mm; Altura (compactada): 
369,19 mm / Altura (estendida): 416,90 mm | Largura: 
275,90 mm | Profundidade: 200,30 mm;</t>
  </si>
  <si>
    <t>12ª geração Intel® Core™ i7-1260P (12-core, cache de 
18MB, até 4.7 GHz); Windows 11 Home, português;
Intel® Iris® Xe com memória gráfica compartilhada; UHD+ 
Touch de 13.4" (3840 x 2400), 500 nits, borda infinita; 
Memória de 32GB LPDDR5 (soldada) 5200MHz; Sem 
opção de expansibilidade; SSD de 1TB PCIe NVMe M.2; 
McAfee LiveSafe - 1 ano; 1 ano de garantia básica via 
correios; Teclado retroiluminado em Português. Leitor de 
impressão digital compatível apenas com Windows; 2 
Thunderbolt™ 4 (USB Type-C™ com DisplayPort e Power 
Delivery) Incluso: adaptador USB-C para USB-A 3.0 e 
adaptador USB-C para adaptador de headset de 3,5 mm;
Câmera HD RGB de 720p a 30 qps, Câmera IR de 400p a 
30 qps, microfones de array duplo; Alto-falantes estéreo 
duplos (tweeter + woofer), Realtek ALC1319D, 2 W x 2 = 
4 W no total</t>
  </si>
  <si>
    <t xml:space="preserve">Servidor </t>
  </si>
  <si>
    <t>Servidor Rack PowerEdge R750xs com Windows Server; 
Chassis with up to 8x3.5" Drives; SAS/SATA Backplane; No 
Rear Storage; 1 CPU Configuration; PowerEdge R750xs 
Server, BCC; Trusted Platform Module 2.0 V3; 3.5" Chassis 
with up to 8 Hard Drives (SAS/SATA), 1 CPU; Intel® Xeon® 
Silver 4314 (2.4 GHz, 16 núcleos/32 threads, 10.4GT/s, 24M 
Cache, Turbo, TDP 135W DDR4-2666; Sem processador 
adicional; Configuração padrão para 1 CPU; Performance 
Optimized; 3200MT/s RDIMMs; 16GB 3200MHz (RDIMM, 
Dual Rank, BCC); C4, RAID 5 para 3 ou mais HDDs ou SSDs 
(tipo/velocidade/capacidade correspondente); PERC H745 
com suporte frontal; 2TB Hard Drive SATA 6Gbps 7.2K 512n 
3.5in Hot-Plug; UEFI BIOS Boot Mode with GPT Partition; 
Cabo de limentação de 2m NBR 14136 2P + T a C13, 250V, 
10A, Brasil; iDRAC9 Enterprise 15G; iDRAC Group Manager, 
Disabled; Windows Server® 2022 Standard, 16 núcleos, 
instalação de fárica, sem CALs, várias línguas; Windows 
Server 2022 Standard, 16 núcleos, imagem de recuperação 
preenchida digitalmente, vários idiomas; Windows Server 2022 Standard, 16 núcleos, com kit mídia, vários idiomas;
Windows Server® 2022 Standard, sem mídia, downgrade 
do WS2016, mídia de DF e DVD, vários idiomas ; Windows 
Server® 2022 Standard, sem mídia, downgrade do WS2019, 
mídia de DVD, vários idiomas; 3 anos de ProSupport com 
atendimento para hardware e software, assistência 24h e 
atendimento no local após diagnóstico por telefone</t>
  </si>
  <si>
    <t>Processador Core i9-13900K Desktop 24 núcleos (8 P-core +
16 E-cores) 36M Cache, até 5,8 GHz; Mac OS X El Capitan
10.11, Windows 11, Windows 10; 32 MB; Processador Intel 
Core i7 13700K 3.4GHz (5.4GHz Turbo), 13ª Geração, 16-
Core 24-Threads, LGA 1700 ou superior; Placa Mãe Asus 
TUF Gaming Z690-Plus D4, Chipset Z690, Intel LGA 1700, 
ATX, DDR4 ou superior; Cooler Para Processador DeepCool 
High Performance AK400, 120mm, Intel-AMD ou superior;2 
Memórias DDR4 XPG Gammix D20, 32GB 
(2x16GB),3200Mhz, CL16, Black ou superior; SSD Kingston 
NV2, 1TB, M.2 NVMe, 2280, Leitura 3500MBs e Gravação 
2100MBs ou superior Fonte XPG Cybercore, 1000W, 80 
Plus Platinum, Full Modular, PFC Ativo ou com potÊncia 
superior; 1 Gabinete Full Tower, RGB, Vidro Temperado, E_x0002_ATX, Black, Sem Fonte, Sem Fan</t>
  </si>
  <si>
    <t>HD</t>
  </si>
  <si>
    <t>HD externo com capacidade de 1TB (um terabyte</t>
  </si>
  <si>
    <t>FONE DE OUVIDO</t>
  </si>
  <si>
    <t>Fone de ouvido com microfone integrado e 
emparelhamento via Bluetooth</t>
  </si>
  <si>
    <t>NF</t>
  </si>
  <si>
    <t>Doado</t>
  </si>
  <si>
    <t>Data Emissão da Nota</t>
  </si>
  <si>
    <t>Data do Termo de Doação</t>
  </si>
  <si>
    <t>Nº Termo de Doação</t>
  </si>
  <si>
    <t>Termo de doação nº 092-2025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</si>
</sst>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name val="Calibri"/>
      <family val="2"/>
    </font>
    <font>
      <b/>
      <sz val="11"/>
      <color theme="0"/>
      <name val="Calibri"/>
      <family val="2"/>
    </font>
  </fonts>
  <fills count="4">
    <fill>
      <patternFill patternType="none"/>
    </fill>
    <fill>
      <patternFill patternType="gray125"/>
    </fill>
    <fill>
      <patternFill patternType="solid">
        <fgColor theme="9" tint="-0.499984740745262"/>
        <bgColor indexed="64"/>
      </patternFill>
    </fill>
    <fill>
      <patternFill patternType="solid">
        <fgColor theme="6"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vertical="center" wrapText="1"/>
    </xf>
    <xf numFmtId="4" fontId="1" fillId="0" borderId="0" xfId="0" applyNumberFormat="1" applyFont="1"/>
    <xf numFmtId="0" fontId="2" fillId="3" borderId="1" xfId="0" applyFont="1" applyFill="1" applyBorder="1" applyAlignment="1">
      <alignment horizontal="center" vertical="center" wrapText="1"/>
    </xf>
    <xf numFmtId="0" fontId="0" fillId="0" borderId="1" xfId="0" applyBorder="1" applyAlignment="1">
      <alignment horizontal="center" vertical="center" wrapText="1"/>
    </xf>
    <xf numFmtId="4"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0" fontId="2"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3"/>
  <sheetViews>
    <sheetView showGridLines="0" tabSelected="1" zoomScale="80" zoomScaleNormal="80" workbookViewId="0">
      <pane ySplit="1" topLeftCell="A2" activePane="bottomLeft" state="frozen"/>
      <selection pane="bottomLeft" activeCell="A2" sqref="A2"/>
    </sheetView>
  </sheetViews>
  <sheetFormatPr defaultRowHeight="14.4" x14ac:dyDescent="0.3"/>
  <cols>
    <col min="1" max="1" width="14.33203125" customWidth="1"/>
    <col min="2" max="2" width="21.6640625" customWidth="1"/>
    <col min="3" max="3" width="84.33203125" customWidth="1"/>
    <col min="4" max="4" width="11.6640625" customWidth="1"/>
    <col min="5" max="5" width="12.5546875" customWidth="1"/>
    <col min="6" max="6" width="23.33203125" customWidth="1"/>
    <col min="7" max="7" width="20.21875" customWidth="1"/>
    <col min="8" max="8" width="12.6640625" customWidth="1"/>
    <col min="9" max="9" width="12.5546875" customWidth="1"/>
    <col min="11" max="13" width="12.109375" customWidth="1"/>
  </cols>
  <sheetData>
    <row r="1" spans="1:13" ht="57.6" x14ac:dyDescent="0.3">
      <c r="A1" s="7" t="s">
        <v>0</v>
      </c>
      <c r="B1" s="7" t="s">
        <v>1</v>
      </c>
      <c r="C1" s="7" t="s">
        <v>2</v>
      </c>
      <c r="D1" s="7" t="s">
        <v>3</v>
      </c>
      <c r="E1" s="7" t="s">
        <v>4</v>
      </c>
      <c r="F1" s="7" t="s">
        <v>5</v>
      </c>
      <c r="G1" s="7" t="s">
        <v>6</v>
      </c>
      <c r="H1" s="7" t="s">
        <v>7</v>
      </c>
      <c r="I1" s="7" t="s">
        <v>8</v>
      </c>
      <c r="J1" s="7" t="s">
        <v>28</v>
      </c>
      <c r="K1" s="3" t="s">
        <v>30</v>
      </c>
      <c r="L1" s="3" t="s">
        <v>31</v>
      </c>
      <c r="M1" s="3" t="s">
        <v>32</v>
      </c>
    </row>
    <row r="2" spans="1:13" s="1" customFormat="1" ht="100.05" customHeight="1" x14ac:dyDescent="0.3">
      <c r="A2" s="4">
        <v>2313</v>
      </c>
      <c r="B2" s="4" t="s">
        <v>9</v>
      </c>
      <c r="C2" s="4" t="s">
        <v>10</v>
      </c>
      <c r="D2" s="5">
        <v>8800</v>
      </c>
      <c r="E2" s="4">
        <v>150</v>
      </c>
      <c r="F2" s="4" t="s">
        <v>11</v>
      </c>
      <c r="G2" s="4" t="s">
        <v>12</v>
      </c>
      <c r="H2" s="4" t="s">
        <v>13</v>
      </c>
      <c r="I2" s="4" t="s">
        <v>29</v>
      </c>
      <c r="J2" s="4">
        <v>51126</v>
      </c>
      <c r="K2" s="6">
        <v>45005</v>
      </c>
      <c r="L2" s="6">
        <v>46001</v>
      </c>
      <c r="M2" s="4" t="s">
        <v>33</v>
      </c>
    </row>
    <row r="3" spans="1:13" s="1" customFormat="1" ht="100.05" customHeight="1" x14ac:dyDescent="0.3">
      <c r="A3" s="4">
        <v>2314</v>
      </c>
      <c r="B3" s="4" t="s">
        <v>9</v>
      </c>
      <c r="C3" s="4" t="s">
        <v>10</v>
      </c>
      <c r="D3" s="5">
        <v>8800</v>
      </c>
      <c r="E3" s="4">
        <v>150</v>
      </c>
      <c r="F3" s="4" t="s">
        <v>11</v>
      </c>
      <c r="G3" s="4" t="s">
        <v>12</v>
      </c>
      <c r="H3" s="4" t="s">
        <v>13</v>
      </c>
      <c r="I3" s="4" t="s">
        <v>29</v>
      </c>
      <c r="J3" s="4">
        <v>51126</v>
      </c>
      <c r="K3" s="6">
        <v>45005</v>
      </c>
      <c r="L3" s="6">
        <v>46001</v>
      </c>
      <c r="M3" s="4" t="s">
        <v>33</v>
      </c>
    </row>
    <row r="4" spans="1:13" s="1" customFormat="1" ht="100.05" customHeight="1" x14ac:dyDescent="0.3">
      <c r="A4" s="4">
        <v>2315</v>
      </c>
      <c r="B4" s="4" t="s">
        <v>9</v>
      </c>
      <c r="C4" s="4" t="s">
        <v>14</v>
      </c>
      <c r="D4" s="5">
        <v>8800</v>
      </c>
      <c r="E4" s="4">
        <v>150</v>
      </c>
      <c r="F4" s="4" t="s">
        <v>11</v>
      </c>
      <c r="G4" s="4" t="s">
        <v>12</v>
      </c>
      <c r="H4" s="4" t="s">
        <v>13</v>
      </c>
      <c r="I4" s="4" t="s">
        <v>29</v>
      </c>
      <c r="J4" s="4">
        <v>51129</v>
      </c>
      <c r="K4" s="6">
        <v>45005</v>
      </c>
      <c r="L4" s="6">
        <v>46001</v>
      </c>
      <c r="M4" s="4" t="s">
        <v>33</v>
      </c>
    </row>
    <row r="5" spans="1:13" s="1" customFormat="1" ht="100.05" customHeight="1" x14ac:dyDescent="0.3">
      <c r="A5" s="4">
        <v>2316</v>
      </c>
      <c r="B5" s="4" t="s">
        <v>9</v>
      </c>
      <c r="C5" s="4" t="s">
        <v>14</v>
      </c>
      <c r="D5" s="5">
        <v>8800</v>
      </c>
      <c r="E5" s="4">
        <v>150</v>
      </c>
      <c r="F5" s="4" t="s">
        <v>11</v>
      </c>
      <c r="G5" s="4" t="s">
        <v>12</v>
      </c>
      <c r="H5" s="4" t="s">
        <v>13</v>
      </c>
      <c r="I5" s="4" t="s">
        <v>29</v>
      </c>
      <c r="J5" s="4">
        <v>51129</v>
      </c>
      <c r="K5" s="6">
        <v>45005</v>
      </c>
      <c r="L5" s="6">
        <v>46001</v>
      </c>
      <c r="M5" s="4" t="s">
        <v>33</v>
      </c>
    </row>
    <row r="6" spans="1:13" s="1" customFormat="1" ht="100.05" customHeight="1" x14ac:dyDescent="0.3">
      <c r="A6" s="4">
        <v>2317</v>
      </c>
      <c r="B6" s="4" t="s">
        <v>9</v>
      </c>
      <c r="C6" s="4" t="s">
        <v>14</v>
      </c>
      <c r="D6" s="5">
        <v>8800</v>
      </c>
      <c r="E6" s="4">
        <v>150</v>
      </c>
      <c r="F6" s="4" t="s">
        <v>11</v>
      </c>
      <c r="G6" s="4" t="s">
        <v>12</v>
      </c>
      <c r="H6" s="4" t="s">
        <v>13</v>
      </c>
      <c r="I6" s="4" t="s">
        <v>29</v>
      </c>
      <c r="J6" s="4">
        <v>51129</v>
      </c>
      <c r="K6" s="6">
        <v>45005</v>
      </c>
      <c r="L6" s="6">
        <v>46001</v>
      </c>
      <c r="M6" s="4" t="s">
        <v>33</v>
      </c>
    </row>
    <row r="7" spans="1:13" s="1" customFormat="1" ht="100.05" customHeight="1" x14ac:dyDescent="0.3">
      <c r="A7" s="4">
        <v>2318</v>
      </c>
      <c r="B7" s="4" t="s">
        <v>15</v>
      </c>
      <c r="C7" s="4" t="s">
        <v>16</v>
      </c>
      <c r="D7" s="5">
        <v>4680</v>
      </c>
      <c r="E7" s="4">
        <v>150</v>
      </c>
      <c r="F7" s="4" t="s">
        <v>11</v>
      </c>
      <c r="G7" s="4" t="s">
        <v>12</v>
      </c>
      <c r="H7" s="4" t="s">
        <v>13</v>
      </c>
      <c r="I7" s="4" t="s">
        <v>29</v>
      </c>
      <c r="J7" s="4">
        <v>1006</v>
      </c>
      <c r="K7" s="6">
        <v>45006</v>
      </c>
      <c r="L7" s="6">
        <v>46001</v>
      </c>
      <c r="M7" s="4" t="s">
        <v>33</v>
      </c>
    </row>
    <row r="8" spans="1:13" s="1" customFormat="1" ht="100.05" customHeight="1" x14ac:dyDescent="0.3">
      <c r="A8" s="4">
        <v>2319</v>
      </c>
      <c r="B8" s="4" t="s">
        <v>9</v>
      </c>
      <c r="C8" s="4" t="s">
        <v>17</v>
      </c>
      <c r="D8" s="5">
        <v>13800</v>
      </c>
      <c r="E8" s="4">
        <v>150</v>
      </c>
      <c r="F8" s="4" t="s">
        <v>11</v>
      </c>
      <c r="G8" s="4" t="s">
        <v>12</v>
      </c>
      <c r="H8" s="4" t="s">
        <v>13</v>
      </c>
      <c r="I8" s="4" t="s">
        <v>29</v>
      </c>
      <c r="J8" s="4">
        <v>1007</v>
      </c>
      <c r="K8" s="6">
        <v>45006</v>
      </c>
      <c r="L8" s="6">
        <v>46001</v>
      </c>
      <c r="M8" s="4" t="s">
        <v>33</v>
      </c>
    </row>
    <row r="9" spans="1:13" s="1" customFormat="1" ht="100.05" customHeight="1" x14ac:dyDescent="0.3">
      <c r="A9" s="4">
        <v>2320</v>
      </c>
      <c r="B9" s="4" t="s">
        <v>9</v>
      </c>
      <c r="C9" s="4" t="s">
        <v>17</v>
      </c>
      <c r="D9" s="5">
        <v>13800</v>
      </c>
      <c r="E9" s="4">
        <v>150</v>
      </c>
      <c r="F9" s="4" t="s">
        <v>11</v>
      </c>
      <c r="G9" s="4" t="s">
        <v>12</v>
      </c>
      <c r="H9" s="4" t="s">
        <v>13</v>
      </c>
      <c r="I9" s="4" t="s">
        <v>29</v>
      </c>
      <c r="J9" s="4">
        <v>1007</v>
      </c>
      <c r="K9" s="6">
        <v>45006</v>
      </c>
      <c r="L9" s="6">
        <v>46001</v>
      </c>
      <c r="M9" s="4" t="s">
        <v>33</v>
      </c>
    </row>
    <row r="10" spans="1:13" s="1" customFormat="1" ht="100.05" customHeight="1" x14ac:dyDescent="0.3">
      <c r="A10" s="4">
        <v>2321</v>
      </c>
      <c r="B10" s="4" t="s">
        <v>18</v>
      </c>
      <c r="C10" s="4" t="s">
        <v>19</v>
      </c>
      <c r="D10" s="5">
        <v>3819</v>
      </c>
      <c r="E10" s="4">
        <v>150</v>
      </c>
      <c r="F10" s="4" t="s">
        <v>11</v>
      </c>
      <c r="G10" s="4" t="s">
        <v>12</v>
      </c>
      <c r="H10" s="4" t="s">
        <v>13</v>
      </c>
      <c r="I10" s="4" t="s">
        <v>29</v>
      </c>
      <c r="J10" s="4">
        <v>669</v>
      </c>
      <c r="K10" s="6">
        <v>45006</v>
      </c>
      <c r="L10" s="6">
        <v>46001</v>
      </c>
      <c r="M10" s="4" t="s">
        <v>33</v>
      </c>
    </row>
    <row r="11" spans="1:13" s="1" customFormat="1" ht="100.05" customHeight="1" x14ac:dyDescent="0.3">
      <c r="A11" s="4">
        <v>2322</v>
      </c>
      <c r="B11" s="4" t="s">
        <v>18</v>
      </c>
      <c r="C11" s="4" t="s">
        <v>19</v>
      </c>
      <c r="D11" s="5">
        <v>3819</v>
      </c>
      <c r="E11" s="4">
        <v>150</v>
      </c>
      <c r="F11" s="4" t="s">
        <v>11</v>
      </c>
      <c r="G11" s="4" t="s">
        <v>12</v>
      </c>
      <c r="H11" s="4" t="s">
        <v>13</v>
      </c>
      <c r="I11" s="4" t="s">
        <v>29</v>
      </c>
      <c r="J11" s="4">
        <v>669</v>
      </c>
      <c r="K11" s="6">
        <v>45006</v>
      </c>
      <c r="L11" s="6">
        <v>46001</v>
      </c>
      <c r="M11" s="4" t="s">
        <v>33</v>
      </c>
    </row>
    <row r="12" spans="1:13" s="1" customFormat="1" ht="100.05" customHeight="1" x14ac:dyDescent="0.3">
      <c r="A12" s="4">
        <v>2323</v>
      </c>
      <c r="B12" s="4" t="s">
        <v>18</v>
      </c>
      <c r="C12" s="4" t="s">
        <v>19</v>
      </c>
      <c r="D12" s="5">
        <v>3819</v>
      </c>
      <c r="E12" s="4">
        <v>150</v>
      </c>
      <c r="F12" s="4" t="s">
        <v>11</v>
      </c>
      <c r="G12" s="4" t="s">
        <v>12</v>
      </c>
      <c r="H12" s="4" t="s">
        <v>13</v>
      </c>
      <c r="I12" s="4" t="s">
        <v>29</v>
      </c>
      <c r="J12" s="4">
        <v>669</v>
      </c>
      <c r="K12" s="6">
        <v>45006</v>
      </c>
      <c r="L12" s="6">
        <v>46001</v>
      </c>
      <c r="M12" s="4" t="s">
        <v>33</v>
      </c>
    </row>
    <row r="13" spans="1:13" s="1" customFormat="1" ht="100.05" customHeight="1" x14ac:dyDescent="0.3">
      <c r="A13" s="4">
        <v>2324</v>
      </c>
      <c r="B13" s="4" t="s">
        <v>9</v>
      </c>
      <c r="C13" s="4" t="s">
        <v>20</v>
      </c>
      <c r="D13" s="5">
        <v>14877</v>
      </c>
      <c r="E13" s="4">
        <v>150</v>
      </c>
      <c r="F13" s="4" t="s">
        <v>11</v>
      </c>
      <c r="G13" s="4" t="s">
        <v>12</v>
      </c>
      <c r="H13" s="4" t="s">
        <v>13</v>
      </c>
      <c r="I13" s="4" t="s">
        <v>29</v>
      </c>
      <c r="J13" s="4">
        <v>670</v>
      </c>
      <c r="K13" s="6">
        <v>45006</v>
      </c>
      <c r="L13" s="6">
        <v>46001</v>
      </c>
      <c r="M13" s="4" t="s">
        <v>33</v>
      </c>
    </row>
    <row r="14" spans="1:13" s="1" customFormat="1" ht="100.05" customHeight="1" x14ac:dyDescent="0.3">
      <c r="A14" s="4">
        <v>2325</v>
      </c>
      <c r="B14" s="4" t="s">
        <v>9</v>
      </c>
      <c r="C14" s="4" t="s">
        <v>20</v>
      </c>
      <c r="D14" s="5">
        <v>14877</v>
      </c>
      <c r="E14" s="4">
        <v>150</v>
      </c>
      <c r="F14" s="4" t="s">
        <v>11</v>
      </c>
      <c r="G14" s="4" t="s">
        <v>12</v>
      </c>
      <c r="H14" s="4" t="s">
        <v>13</v>
      </c>
      <c r="I14" s="4" t="s">
        <v>29</v>
      </c>
      <c r="J14" s="4">
        <v>670</v>
      </c>
      <c r="K14" s="6">
        <v>45006</v>
      </c>
      <c r="L14" s="6">
        <v>46001</v>
      </c>
      <c r="M14" s="4" t="s">
        <v>33</v>
      </c>
    </row>
    <row r="15" spans="1:13" s="1" customFormat="1" ht="100.05" customHeight="1" x14ac:dyDescent="0.3">
      <c r="A15" s="4">
        <v>2326</v>
      </c>
      <c r="B15" s="4" t="s">
        <v>15</v>
      </c>
      <c r="C15" s="4" t="s">
        <v>16</v>
      </c>
      <c r="D15" s="5">
        <v>4499</v>
      </c>
      <c r="E15" s="4">
        <v>150</v>
      </c>
      <c r="F15" s="4" t="s">
        <v>11</v>
      </c>
      <c r="G15" s="4" t="s">
        <v>12</v>
      </c>
      <c r="H15" s="4" t="s">
        <v>13</v>
      </c>
      <c r="I15" s="4" t="s">
        <v>29</v>
      </c>
      <c r="J15" s="4">
        <v>683</v>
      </c>
      <c r="K15" s="6">
        <v>45012</v>
      </c>
      <c r="L15" s="6">
        <v>46001</v>
      </c>
      <c r="M15" s="4" t="s">
        <v>33</v>
      </c>
    </row>
    <row r="16" spans="1:13" s="1" customFormat="1" ht="100.05" customHeight="1" x14ac:dyDescent="0.3">
      <c r="A16" s="4">
        <v>2327</v>
      </c>
      <c r="B16" s="4" t="s">
        <v>21</v>
      </c>
      <c r="C16" s="4" t="s">
        <v>22</v>
      </c>
      <c r="D16" s="5">
        <v>43999</v>
      </c>
      <c r="E16" s="4">
        <v>150</v>
      </c>
      <c r="F16" s="4" t="s">
        <v>11</v>
      </c>
      <c r="G16" s="4" t="s">
        <v>12</v>
      </c>
      <c r="H16" s="4" t="s">
        <v>13</v>
      </c>
      <c r="I16" s="4" t="s">
        <v>29</v>
      </c>
      <c r="J16" s="4">
        <v>1014</v>
      </c>
      <c r="K16" s="6">
        <v>45012</v>
      </c>
      <c r="L16" s="6">
        <v>46001</v>
      </c>
      <c r="M16" s="4" t="s">
        <v>33</v>
      </c>
    </row>
    <row r="17" spans="1:13" s="1" customFormat="1" ht="100.05" customHeight="1" x14ac:dyDescent="0.3">
      <c r="A17" s="4">
        <v>2328</v>
      </c>
      <c r="B17" s="4" t="s">
        <v>21</v>
      </c>
      <c r="C17" s="4" t="s">
        <v>23</v>
      </c>
      <c r="D17" s="5">
        <v>10967</v>
      </c>
      <c r="E17" s="4">
        <v>150</v>
      </c>
      <c r="F17" s="4" t="s">
        <v>11</v>
      </c>
      <c r="G17" s="4" t="s">
        <v>12</v>
      </c>
      <c r="H17" s="4" t="s">
        <v>13</v>
      </c>
      <c r="I17" s="4" t="s">
        <v>29</v>
      </c>
      <c r="J17" s="4">
        <v>690</v>
      </c>
      <c r="K17" s="6">
        <v>45013</v>
      </c>
      <c r="L17" s="6">
        <v>46001</v>
      </c>
      <c r="M17" s="4" t="s">
        <v>33</v>
      </c>
    </row>
    <row r="18" spans="1:13" s="1" customFormat="1" ht="100.05" customHeight="1" x14ac:dyDescent="0.3">
      <c r="A18" s="4">
        <v>2329</v>
      </c>
      <c r="B18" s="4" t="s">
        <v>24</v>
      </c>
      <c r="C18" s="4" t="s">
        <v>25</v>
      </c>
      <c r="D18" s="5">
        <v>427</v>
      </c>
      <c r="E18" s="4">
        <v>150</v>
      </c>
      <c r="F18" s="4" t="s">
        <v>11</v>
      </c>
      <c r="G18" s="4" t="s">
        <v>12</v>
      </c>
      <c r="H18" s="4" t="s">
        <v>13</v>
      </c>
      <c r="I18" s="4" t="s">
        <v>29</v>
      </c>
      <c r="J18" s="4">
        <v>1021</v>
      </c>
      <c r="K18" s="6">
        <v>45013</v>
      </c>
      <c r="L18" s="6">
        <v>46001</v>
      </c>
      <c r="M18" s="4" t="s">
        <v>33</v>
      </c>
    </row>
    <row r="19" spans="1:13" s="1" customFormat="1" ht="100.05" customHeight="1" x14ac:dyDescent="0.3">
      <c r="A19" s="4">
        <v>2330</v>
      </c>
      <c r="B19" s="4" t="s">
        <v>24</v>
      </c>
      <c r="C19" s="4" t="s">
        <v>25</v>
      </c>
      <c r="D19" s="5">
        <v>427</v>
      </c>
      <c r="E19" s="4">
        <v>150</v>
      </c>
      <c r="F19" s="4" t="s">
        <v>11</v>
      </c>
      <c r="G19" s="4" t="s">
        <v>12</v>
      </c>
      <c r="H19" s="4" t="s">
        <v>13</v>
      </c>
      <c r="I19" s="4" t="s">
        <v>29</v>
      </c>
      <c r="J19" s="4">
        <v>1021</v>
      </c>
      <c r="K19" s="6">
        <v>45013</v>
      </c>
      <c r="L19" s="6">
        <v>46001</v>
      </c>
      <c r="M19" s="4" t="s">
        <v>33</v>
      </c>
    </row>
    <row r="20" spans="1:13" s="1" customFormat="1" ht="100.05" customHeight="1" x14ac:dyDescent="0.3">
      <c r="A20" s="4">
        <v>2331</v>
      </c>
      <c r="B20" s="4" t="s">
        <v>26</v>
      </c>
      <c r="C20" s="4" t="s">
        <v>27</v>
      </c>
      <c r="D20" s="5">
        <v>295</v>
      </c>
      <c r="E20" s="4">
        <v>150</v>
      </c>
      <c r="F20" s="4" t="s">
        <v>11</v>
      </c>
      <c r="G20" s="4" t="s">
        <v>12</v>
      </c>
      <c r="H20" s="4" t="s">
        <v>13</v>
      </c>
      <c r="I20" s="4" t="s">
        <v>29</v>
      </c>
      <c r="J20" s="4">
        <v>1021</v>
      </c>
      <c r="K20" s="6">
        <v>45013</v>
      </c>
      <c r="L20" s="6">
        <v>46001</v>
      </c>
      <c r="M20" s="4" t="s">
        <v>33</v>
      </c>
    </row>
    <row r="21" spans="1:13" s="1" customFormat="1" ht="100.05" customHeight="1" x14ac:dyDescent="0.3">
      <c r="A21" s="4">
        <v>2332</v>
      </c>
      <c r="B21" s="4" t="s">
        <v>26</v>
      </c>
      <c r="C21" s="4" t="s">
        <v>27</v>
      </c>
      <c r="D21" s="5">
        <v>295</v>
      </c>
      <c r="E21" s="4">
        <v>150</v>
      </c>
      <c r="F21" s="4" t="s">
        <v>11</v>
      </c>
      <c r="G21" s="4" t="s">
        <v>12</v>
      </c>
      <c r="H21" s="4" t="s">
        <v>13</v>
      </c>
      <c r="I21" s="4" t="s">
        <v>29</v>
      </c>
      <c r="J21" s="4">
        <v>1021</v>
      </c>
      <c r="K21" s="6">
        <v>45013</v>
      </c>
      <c r="L21" s="6">
        <v>46001</v>
      </c>
      <c r="M21" s="4" t="s">
        <v>33</v>
      </c>
    </row>
    <row r="22" spans="1:13" s="1" customFormat="1" ht="100.05" customHeight="1" x14ac:dyDescent="0.3">
      <c r="A22" s="4">
        <v>2333</v>
      </c>
      <c r="B22" s="4" t="s">
        <v>26</v>
      </c>
      <c r="C22" s="4" t="s">
        <v>27</v>
      </c>
      <c r="D22" s="5">
        <v>295</v>
      </c>
      <c r="E22" s="4">
        <v>150</v>
      </c>
      <c r="F22" s="4" t="s">
        <v>11</v>
      </c>
      <c r="G22" s="4" t="s">
        <v>12</v>
      </c>
      <c r="H22" s="4" t="s">
        <v>13</v>
      </c>
      <c r="I22" s="4" t="s">
        <v>29</v>
      </c>
      <c r="J22" s="4">
        <v>1021</v>
      </c>
      <c r="K22" s="6">
        <v>45013</v>
      </c>
      <c r="L22" s="6">
        <v>46001</v>
      </c>
      <c r="M22" s="4" t="s">
        <v>33</v>
      </c>
    </row>
    <row r="23" spans="1:13" x14ac:dyDescent="0.3">
      <c r="D23" s="2">
        <f>SUM(D2:D22)</f>
        <v>178695</v>
      </c>
    </row>
  </sheetData>
  <pageMargins left="0.31496062992125984" right="0.31496062992125984" top="0.39370078740157483" bottom="0.39370078740157483" header="0.11811023622047245" footer="0.11811023622047245"/>
  <pageSetup paperSize="9" scale="49" orientation="landscape" r:id="rId1"/>
  <headerFooter>
    <oddFooter>Página &amp;P de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2</vt:i4>
      </vt:variant>
    </vt:vector>
  </HeadingPairs>
  <TitlesOfParts>
    <vt:vector size="3" baseType="lpstr">
      <vt:lpstr>Relatório</vt:lpstr>
      <vt:lpstr>Relatório!Area_de_impressao</vt:lpstr>
      <vt:lpstr>Relatório!Titulos_de_impressao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Raymisson Pereira Mendes</cp:lastModifiedBy>
  <cp:lastPrinted>2025-12-11T11:50:01Z</cp:lastPrinted>
  <dcterms:modified xsi:type="dcterms:W3CDTF">2025-12-24T16:24:30Z</dcterms:modified>
</cp:coreProperties>
</file>