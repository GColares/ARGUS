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J:\Meu Drive\PRESTAÇÃO DE CONTAS\1. Imobilizado Auditoria\Imobilizado - Raymisson\IFAM Imobilizado - Em Processamento\Projeto 166 - IFAM - FINEP - Conta 12.076-6\"/>
    </mc:Choice>
  </mc:AlternateContent>
  <xr:revisionPtr revIDLastSave="0" documentId="13_ncr:1_{0B79C831-BE15-47AC-BFA8-65B89C200A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latório" sheetId="1" r:id="rId1"/>
  </sheets>
  <definedNames>
    <definedName name="_xlnm._FilterDatabase" localSheetId="0" hidden="1">Relatório!$A$1:$J$1</definedName>
    <definedName name="_xlnm.Print_Area" localSheetId="0">Relatório!$A$1:$N$26</definedName>
    <definedName name="_xlnm.Print_Titles" localSheetId="0">Relatório!$1:$1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</calcChain>
</file>

<file path=xl/sharedStrings.xml><?xml version="1.0" encoding="utf-8"?>
<sst xmlns="http://schemas.openxmlformats.org/spreadsheetml/2006/main" count="61" uniqueCount="33">
  <si>
    <t>Nº Patrimônio</t>
  </si>
  <si>
    <t>Produto</t>
  </si>
  <si>
    <t>Descrição</t>
  </si>
  <si>
    <t>Valor</t>
  </si>
  <si>
    <t>Cód. Projeto</t>
  </si>
  <si>
    <t>Projeto</t>
  </si>
  <si>
    <t>Gestor</t>
  </si>
  <si>
    <t>Coordenador</t>
  </si>
  <si>
    <t>Situação</t>
  </si>
  <si>
    <t>Espectrômetro</t>
  </si>
  <si>
    <t xml:space="preserve">Espectrômetro de bancada Fourier 80 FT-NMR de alto 
desempenho. Conforme Proforma Invoice Nº. 22254366
(anexo)
</t>
  </si>
  <si>
    <t>IFAM 2022-019 - FINEP 0319-22 (12076-6/11924-5)</t>
  </si>
  <si>
    <t>Ana Carolina Góes Martins</t>
  </si>
  <si>
    <t>Lizandro Manzato</t>
  </si>
  <si>
    <t xml:space="preserve">Espectrômetro de Infravermelho por Transformada de 
Fourier (FTIR). Conforme Proforma Invoice Nº. 22170379 
(anexo)
</t>
  </si>
  <si>
    <t>Microspectroscopy system</t>
  </si>
  <si>
    <t>Estágio de controle e movimento</t>
  </si>
  <si>
    <t>STAGE AND CTR, 75X50, ENCODED, SWIFT</t>
  </si>
  <si>
    <t>Set óptico</t>
  </si>
  <si>
    <t>785nm Set, BP-DIC-LP, 12.5mm, uSpex, RAM</t>
  </si>
  <si>
    <t>Módulo de filtro</t>
  </si>
  <si>
    <t>FILTER MODULE FOR UMA</t>
  </si>
  <si>
    <t>NF</t>
  </si>
  <si>
    <t>PI_22170379</t>
  </si>
  <si>
    <t>PI_22254366</t>
  </si>
  <si>
    <t>SMS Microspectroscopy system.</t>
  </si>
  <si>
    <t>PI OSD-SA-FC-20230721-IFAM-SMS</t>
  </si>
  <si>
    <t>PI FLU-SE-FS-20250616-IFAM-SMS_Upgrade-V0</t>
  </si>
  <si>
    <t>Doado</t>
  </si>
  <si>
    <t>Data Emissão da Nota</t>
  </si>
  <si>
    <t>Data do Termo de Doação</t>
  </si>
  <si>
    <t>Nº Termo de Doação</t>
  </si>
  <si>
    <t>Termo de doação nº 091-2025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</si>
</sst>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  <family val="2"/>
    </font>
    <font>
      <b/>
      <sz val="11"/>
      <color theme="0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4" fontId="3" fillId="0" borderId="0" xfId="0" applyNumberFormat="1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showGridLines="0" tabSelected="1" zoomScale="80" zoomScaleNormal="80" workbookViewId="0"/>
  </sheetViews>
  <sheetFormatPr defaultRowHeight="63" customHeight="1" x14ac:dyDescent="0.3"/>
  <cols>
    <col min="1" max="1" width="14.33203125" style="1" customWidth="1"/>
    <col min="2" max="2" width="30.44140625" style="1" customWidth="1"/>
    <col min="3" max="3" width="51" style="1" customWidth="1"/>
    <col min="4" max="4" width="11.21875" style="1" customWidth="1"/>
    <col min="5" max="5" width="12.5546875" style="1" customWidth="1"/>
    <col min="6" max="6" width="36.6640625" style="1" customWidth="1"/>
    <col min="7" max="7" width="19.33203125" style="1" customWidth="1"/>
    <col min="8" max="8" width="13.33203125" style="1" customWidth="1"/>
    <col min="9" max="9" width="10.77734375" style="1" customWidth="1"/>
    <col min="10" max="10" width="18.6640625" style="1" customWidth="1"/>
    <col min="11" max="13" width="13.21875" style="1" customWidth="1"/>
    <col min="14" max="16384" width="8.88671875" style="1"/>
  </cols>
  <sheetData>
    <row r="1" spans="1:13" ht="63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22</v>
      </c>
      <c r="K1" s="3" t="s">
        <v>29</v>
      </c>
      <c r="L1" s="3" t="s">
        <v>30</v>
      </c>
      <c r="M1" s="3" t="s">
        <v>31</v>
      </c>
    </row>
    <row r="2" spans="1:13" ht="63" customHeight="1" x14ac:dyDescent="0.3">
      <c r="A2" s="4">
        <v>2920</v>
      </c>
      <c r="B2" s="4" t="s">
        <v>9</v>
      </c>
      <c r="C2" s="4" t="s">
        <v>10</v>
      </c>
      <c r="D2" s="5">
        <v>715997.43</v>
      </c>
      <c r="E2" s="4">
        <v>166</v>
      </c>
      <c r="F2" s="4" t="s">
        <v>11</v>
      </c>
      <c r="G2" s="4" t="s">
        <v>12</v>
      </c>
      <c r="H2" s="4" t="s">
        <v>13</v>
      </c>
      <c r="I2" s="4" t="s">
        <v>28</v>
      </c>
      <c r="J2" s="6" t="s">
        <v>24</v>
      </c>
      <c r="K2" s="7">
        <v>45075</v>
      </c>
      <c r="L2" s="7">
        <v>46001</v>
      </c>
      <c r="M2" s="4" t="s">
        <v>32</v>
      </c>
    </row>
    <row r="3" spans="1:13" ht="63" customHeight="1" x14ac:dyDescent="0.3">
      <c r="A3" s="4">
        <v>2921</v>
      </c>
      <c r="B3" s="4" t="s">
        <v>9</v>
      </c>
      <c r="C3" s="4" t="s">
        <v>14</v>
      </c>
      <c r="D3" s="5">
        <v>680171.87</v>
      </c>
      <c r="E3" s="4">
        <v>166</v>
      </c>
      <c r="F3" s="4" t="s">
        <v>11</v>
      </c>
      <c r="G3" s="4" t="s">
        <v>12</v>
      </c>
      <c r="H3" s="4" t="s">
        <v>13</v>
      </c>
      <c r="I3" s="4" t="s">
        <v>28</v>
      </c>
      <c r="J3" s="4" t="s">
        <v>23</v>
      </c>
      <c r="K3" s="7">
        <v>45117</v>
      </c>
      <c r="L3" s="7">
        <v>46001</v>
      </c>
      <c r="M3" s="4" t="s">
        <v>32</v>
      </c>
    </row>
    <row r="4" spans="1:13" ht="63" customHeight="1" x14ac:dyDescent="0.3">
      <c r="A4" s="4">
        <v>2922</v>
      </c>
      <c r="B4" s="4" t="s">
        <v>15</v>
      </c>
      <c r="C4" s="4" t="s">
        <v>25</v>
      </c>
      <c r="D4" s="5">
        <v>1133983.51</v>
      </c>
      <c r="E4" s="4">
        <v>166</v>
      </c>
      <c r="F4" s="4" t="s">
        <v>11</v>
      </c>
      <c r="G4" s="4" t="s">
        <v>12</v>
      </c>
      <c r="H4" s="4" t="s">
        <v>13</v>
      </c>
      <c r="I4" s="4" t="s">
        <v>28</v>
      </c>
      <c r="J4" s="4" t="s">
        <v>26</v>
      </c>
      <c r="K4" s="7">
        <v>45181</v>
      </c>
      <c r="L4" s="7">
        <v>46001</v>
      </c>
      <c r="M4" s="4" t="s">
        <v>32</v>
      </c>
    </row>
    <row r="5" spans="1:13" ht="63" customHeight="1" x14ac:dyDescent="0.3">
      <c r="A5" s="4">
        <v>2923</v>
      </c>
      <c r="B5" s="4" t="s">
        <v>16</v>
      </c>
      <c r="C5" s="4" t="s">
        <v>17</v>
      </c>
      <c r="D5" s="5">
        <v>105640.87</v>
      </c>
      <c r="E5" s="4">
        <v>166</v>
      </c>
      <c r="F5" s="4" t="s">
        <v>11</v>
      </c>
      <c r="G5" s="4" t="s">
        <v>12</v>
      </c>
      <c r="H5" s="4" t="s">
        <v>13</v>
      </c>
      <c r="I5" s="4" t="s">
        <v>28</v>
      </c>
      <c r="J5" s="4" t="s">
        <v>27</v>
      </c>
      <c r="K5" s="7">
        <v>45826</v>
      </c>
      <c r="L5" s="7">
        <v>46001</v>
      </c>
      <c r="M5" s="4" t="s">
        <v>32</v>
      </c>
    </row>
    <row r="6" spans="1:13" ht="63" customHeight="1" x14ac:dyDescent="0.3">
      <c r="A6" s="4">
        <v>2924</v>
      </c>
      <c r="B6" s="4" t="s">
        <v>18</v>
      </c>
      <c r="C6" s="4" t="s">
        <v>19</v>
      </c>
      <c r="D6" s="5">
        <v>32345.95</v>
      </c>
      <c r="E6" s="4">
        <v>166</v>
      </c>
      <c r="F6" s="4" t="s">
        <v>11</v>
      </c>
      <c r="G6" s="4" t="s">
        <v>12</v>
      </c>
      <c r="H6" s="4" t="s">
        <v>13</v>
      </c>
      <c r="I6" s="4" t="s">
        <v>28</v>
      </c>
      <c r="J6" s="4" t="s">
        <v>27</v>
      </c>
      <c r="K6" s="7">
        <v>45826</v>
      </c>
      <c r="L6" s="7">
        <v>46001</v>
      </c>
      <c r="M6" s="4" t="s">
        <v>32</v>
      </c>
    </row>
    <row r="7" spans="1:13" ht="63" customHeight="1" x14ac:dyDescent="0.3">
      <c r="A7" s="4">
        <v>2925</v>
      </c>
      <c r="B7" s="4" t="s">
        <v>20</v>
      </c>
      <c r="C7" s="4" t="s">
        <v>21</v>
      </c>
      <c r="D7" s="5">
        <v>23576.33</v>
      </c>
      <c r="E7" s="4">
        <v>166</v>
      </c>
      <c r="F7" s="4" t="s">
        <v>11</v>
      </c>
      <c r="G7" s="4" t="s">
        <v>12</v>
      </c>
      <c r="H7" s="4" t="s">
        <v>13</v>
      </c>
      <c r="I7" s="4" t="s">
        <v>28</v>
      </c>
      <c r="J7" s="4" t="s">
        <v>27</v>
      </c>
      <c r="K7" s="7">
        <v>45826</v>
      </c>
      <c r="L7" s="7">
        <v>46001</v>
      </c>
      <c r="M7" s="4" t="s">
        <v>32</v>
      </c>
    </row>
    <row r="8" spans="1:13" ht="21.6" customHeight="1" x14ac:dyDescent="0.3">
      <c r="D8" s="2">
        <f>SUM(D2:D7)</f>
        <v>2691715.9600000004</v>
      </c>
    </row>
  </sheetData>
  <autoFilter ref="A1:J1" xr:uid="{00000000-0001-0000-0000-000000000000}"/>
  <pageMargins left="0.31496062992125984" right="0.31496062992125984" top="0.39370078740157483" bottom="0.39370078740157483" header="0.11811023622047245" footer="0.11811023622047245"/>
  <pageSetup paperSize="9" scale="48" orientation="landscape" r:id="rId1"/>
  <headerFooter>
    <oddFooter>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Relatório</vt:lpstr>
      <vt:lpstr>Relatório!Area_de_impressao</vt:lpstr>
      <vt:lpstr>Relatório!Titulos_de_impressao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Raymisson Pereira Mendes</cp:lastModifiedBy>
  <cp:lastPrinted>2025-12-12T18:46:12Z</cp:lastPrinted>
  <dcterms:modified xsi:type="dcterms:W3CDTF">2025-12-24T16:00:46Z</dcterms:modified>
</cp:coreProperties>
</file>