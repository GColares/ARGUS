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J:\Meu Drive\PRESTAÇÃO DE CONTAS\1. Imobilizado Auditoria\Imobilizado - Raymisson\IFAM Imobilizado - Em Processamento\Projeto 149 - IFAM- Tecnologias - Conta 12.127-4\"/>
    </mc:Choice>
  </mc:AlternateContent>
  <xr:revisionPtr revIDLastSave="0" documentId="13_ncr:1_{BD2F9991-7F14-47C2-8C07-064D2037EB2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elatório" sheetId="1" r:id="rId1"/>
  </sheets>
  <definedNames>
    <definedName name="_xlnm._FilterDatabase" localSheetId="0" hidden="1">Relatório!$A$1:$J$52</definedName>
    <definedName name="_xlnm.Print_Area" localSheetId="0">Relatório!$A$1:$N$26</definedName>
    <definedName name="_xlnm.Print_Titles" localSheetId="0">Relatório!$1:$1</definedName>
  </definedName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53" i="1" l="1"/>
</calcChain>
</file>

<file path=xl/sharedStrings.xml><?xml version="1.0" encoding="utf-8"?>
<sst xmlns="http://schemas.openxmlformats.org/spreadsheetml/2006/main" count="371" uniqueCount="59">
  <si>
    <t>Nº Patrimônio</t>
  </si>
  <si>
    <t>Produto</t>
  </si>
  <si>
    <t>Descrição</t>
  </si>
  <si>
    <t>Valor</t>
  </si>
  <si>
    <t>Cód. Projeto</t>
  </si>
  <si>
    <t>Projeto</t>
  </si>
  <si>
    <t>Gestor</t>
  </si>
  <si>
    <t>Coordenador</t>
  </si>
  <si>
    <t>Situação</t>
  </si>
  <si>
    <t>Suporte Universal Gaiola Para Projetor</t>
  </si>
  <si>
    <t>Suporte Universal Gaiola Para Projetor Multi-Gaiola Branco</t>
  </si>
  <si>
    <t>IFAM 2023-001 - LG - Tecnologias Digitais 2º Ciclo (12127-4)</t>
  </si>
  <si>
    <t xml:space="preserve">Alessandra Castro Rocha </t>
  </si>
  <si>
    <t>Maria Cassiana Andrade Braga</t>
  </si>
  <si>
    <t xml:space="preserve">Câmera de Segurança </t>
  </si>
  <si>
    <t>Aquisição e Instalação de Câmeras de Segurança incluindo serviço e material. Circuito de CFTV local. Obs.: solicitar visita do fornecedor ao campus Manaus Distrito Industrial, para levantamento de medidas no local da instalação.</t>
  </si>
  <si>
    <t>Smartphone</t>
  </si>
  <si>
    <t>Smartphone (5G) 128GB, preferencialmente Preto, especificações mínimas: Tela 6.7", iOS15, 6 Core 2.3 GHZ, Foto 12 Mpx, Video 4K, 6 GB RAM</t>
  </si>
  <si>
    <t>Smartphone (5G) 256GB, preferencialmente Preto, especificações mínimas: Tela 6.7", Android 12, 8 Core 2.2 GHZ, Foto 50 Mpx, Video 8K, 12 GB RAM</t>
  </si>
  <si>
    <t>Persiana</t>
  </si>
  <si>
    <t>Fornecimento e instalação de persianas verticais em PVC (cor a definir) primeira linha, com 89 mm de largura recolhíeis e articuláveis para ambos os lados com galeria revestida (bando de alumínio), sendo: cabeçote em duralumínio; eixo interno em alumínio polido para facilitar o deslizamento dos carrinhos transportadores das lâminas que são blindados em nylon Delrim; sistema de rosca sem fim com ponta de regulagem automática; engrenagens de redução para funcionamento suave; movimento giratório de 180 graus, controlado por corrente do tipo bolinha de plástico nº 10; corrente da base de lâmina de plástico; trilho em alumínio adonisado a ser fixado na parede ou teto; recolhimento das lâminas em corda de nylon de 2,5 mm de diâmetro. OBS: Solicitar visita do fornecedor ao campus Distrito Industrial para levantamento de medidas no local da instalação.</t>
  </si>
  <si>
    <t>Tela de projeção elétrica</t>
  </si>
  <si>
    <t>TELA DE PROJEÇÃO: Tela de projeção retrátil, de 100 polegadas.</t>
  </si>
  <si>
    <t>Suporte Para TV</t>
  </si>
  <si>
    <t>Suporte Articulado para Tv de 37" a 90" KPM-955</t>
  </si>
  <si>
    <t>IMPRESSORA 3D</t>
  </si>
  <si>
    <t xml:space="preserve">Especificação técnica: 
Fonte de luz UV COB com 36 LEDs integrados, Purificador de Ar para Saída de vapores tóxicos e de mal odor no ambiente, LCD monocromático 4k, Dissipador de calor da matriz de luz UV.
Tecnologia de impressão: MSLA
Fonte de Luz: UV com comprimento de onda de 405nm
Volume de impressão: 143 x 89,6 x 175 mm
Dimensões da máquina: 227 x 227 x 438,5 mm
Resolução LCD: 4098*2560 (4K)
Resolução XY DPI: 0.035 mm (35 micra)
Resolução eixo Z: 0.0125 mm (12,5 micra)
Espessura da camada de 0.01 – 0.2 mm (ajustável)
Materiais de impressão: 405nm resina fotossensível
Velocidade de impressão: 50 mm/h
Fonte de alimentação: AC Input 100 - 240V I 50/60Hz
Conexão: USB (Pendrive)
Sistemas operacionais: Windows, Linux, MacOS
Softwares de impressão: Chitubox e Lychee
.
JUSTIFICATIVA:
Equipamento para impressão com resina com tecnologia de impressão diferente da impressora de filamento FDM e SLA. A resina é liquida e é solidificada por raios UV e por isso gera impressões mais rápidas e precisas do que a FDM, mas com menor volume. Necessário para utilizar uma tecnologia de manufatura aditiva auxiliar a FDM e para a construção de peças de maior precisão do que a FDM pode realizar.
</t>
  </si>
  <si>
    <t>Cabine secadora de esmalte gel</t>
  </si>
  <si>
    <t>Cabine secadora de esmalte gel, Estufa Led Uv tamanho 220x195x105mm - Luateck Sun5. Necessário para a cura das peças manufaturadas em impressoras SLA.</t>
  </si>
  <si>
    <t>Estufa Para Filamento Impressora 3d</t>
  </si>
  <si>
    <t>Estufa Para Filamento Impressora 3d - Auza 3 Rolos. Necessário para conservar e remover a umidade dos filamentos das impressoras FDM.</t>
  </si>
  <si>
    <t>Computador Notebook</t>
  </si>
  <si>
    <t>Notebook com Placa de Vídeo: Nvidia GeForce RTX 3060 6GB 192 bits GDDR6 - Suporte PCIe x16 - Compatível com Direct X12 - Tecnologia Nvidia PhysX - Tecnologia Nvidia GeForce CUDA - Suporta 1 monitor externo com resolução máxima de 4k - TGP máximo suportado: 115W. Processador: - Intel Core i7-11800H 2.3GHz, Turbo Max 4.6GHz 24MB cache - TDP máximo suportado: 45W. Memória: - Suporte para memórias de até 3200 Mhz - 2x Slots com Suporte para até 64 GB (com 2x 32 GB)</t>
  </si>
  <si>
    <t>Leitor de cartão de memória multifuncional</t>
  </si>
  <si>
    <t>Leitor de cartão de memória multifuncional, para usb externo, mini, micro sd, sdhc m2 mmc xd cf</t>
  </si>
  <si>
    <t>mini camera hd</t>
  </si>
  <si>
    <t>Novo 1080p sq11 mini câmera hd sensor de visão noturna camcorder movimento dvr micro câmera ajustável esporte dv vídeo pequena câmera cam</t>
  </si>
  <si>
    <t>Micrômetro</t>
  </si>
  <si>
    <t>Micrômetro Externo -  0 a 25mm 0.01mm 103-137
Especificação mínima: Arco esmaltado; faces de medição de metal duro; equipado com catraca para força de medição constante; placa de isolação térmica.</t>
  </si>
  <si>
    <t>NF</t>
  </si>
  <si>
    <t xml:space="preserve">Gravador </t>
  </si>
  <si>
    <t>Gravador DRvr 4 canais Full HD Intelbras mhdx 30004-C</t>
  </si>
  <si>
    <t>Mini Rack</t>
  </si>
  <si>
    <t>Mini rack montado 3U 370mm - intelbras MRM 337</t>
  </si>
  <si>
    <t>base de impressora 3D</t>
  </si>
  <si>
    <t>ENDER5-PLUS-STAND - CREALITY Ender 5 PLUS Tipo:
Standard</t>
  </si>
  <si>
    <t>Mini Cabine</t>
  </si>
  <si>
    <t>MINI CABINE COM LED COM DUTO DE EXAUSTAO CABMP-4</t>
  </si>
  <si>
    <t>Total de Bens Permanentes (R$)</t>
  </si>
  <si>
    <t>Doado</t>
  </si>
  <si>
    <r>
      <t xml:space="preserve">Especificação técnica: 
Hotend com garganta bi-metal e dissipador com aletas para maior troca de calor, Extrusora Sprite Direct drive, Placa-mãe 32 bits, fluxo de ar  aprimorado, Nivelamento automático CR Touch, Manta magnética PC, Retomada de impressão, Sensor de filamento.
Tecnologia de </t>
    </r>
    <r>
      <rPr>
        <sz val="11"/>
        <rFont val="Calibri"/>
        <family val="2"/>
      </rPr>
      <t>impressão</t>
    </r>
    <r>
      <rPr>
        <sz val="11"/>
        <rFont val="Calibri"/>
        <family val="2"/>
      </rPr>
      <t>: FDM (Modelagem por deposição fundida)
Sistema de movimentação: Cartesiano
Volume de impressão: 220 x 220 x 280 mm
Velocidade máxima de impressão: 150 mm/s
Temperatura máxima de extrusão: &gt; 300°C
Temperatura máxima da mesa: 110°C
Precisão de impressão: ± 0.1 mm
Filamentos compatíveis: PLA, ABS, PETG, TPU (flexível), PC,
ASA, HIPS
Diâmetro do Filamento: 1.75 mm
Diâmetro do bico: 0.4 mm (Pode ser alterado)
Tensão: AC 110 – 220 V (Bivolt chaveada)
Fonte de alimentação: DC 24 V – 15 A – 350 W
Conexão: Micro Cartão SD ou Cabo USB
Formato dos arquivos: STL, AMF, OBJ, G-Code
Softwares de impressão: Utimaker CURA, Simplify 3D, Prusa Slicer, 
IdeaMaker, Repetier-Host e outros.
Sistema operacional (SO): Windows, Linux, MacOS
.
JUSTIFICATIVA: Equipamento para imprimir peças 3D com a tecnologia FDM usando filamentos ABS, nas aplicações descritas na ementa do curso. A impressora com a área de impressão enclausurada permite a retenção de calor e a capacidade de permitir que impressões com resinas mais sensíveis a variação térmica (como o ABS) possam ser impressas sem falhas. O enclausuramento pode diminuir a área de impressão dessas impressoras</t>
    </r>
  </si>
  <si>
    <t>Especificação técnica:  Placa mãe 32 Bits silenciosa v2.5.1 - 32 bits, Hotend all-metal, Extrusora Sprite Direct drive, Nivelamento automático CR Touch, Dois fusos no eixo Z, Conectividade por Wi-fi ou cabo Rj-45, Manta magnética PEI, sensor de filamento, Iluminação LED, suporte de filamento rolamentado. Tecnologia de impressão: FDM (Modelagem por deposição fundida Sistema de movimentação: Cartesiano Volume de impressão: 300 x 300 x 400 mm Velocidade máxima de impressão: 120 mm/s Temperatura máxima de extrusão: 300°C Temperatura máxima da mesa: 100°C Precisão de impressão: ± 0.1 mm Filamentos compatíveis: PLA, ABS, PETG, TPU (flexível) e outros. Diâmetro do Filamento: 1.75 mm Diâmetro do bico: 0.4 mm (Pode ser alterado) Tensão: AC 110 – 220 V (Bivolt chaveada) Fonte de alimentação: DC 24 V – 15 A – 350 W Conexão: Cartão SD, Pendrive ou Cabo USB.Formato dos arquivos: STL, AMF, OBJ
Softwares de impressão: Utimaker CURA, Simplify 3D, Prusa Slicer, IdeaMaker e outros. 
Sistema operacional (SO): Windows, Linux, MacOS JUSTIFICATIVA: Equipamento necessário para impressões com o uso de filamento flexível TPU/TPE, nas aplicações descritas na ementa do curso. Nesse tipo de extrusora, o mecanismo fica associado ao sistema do bico de injeção, fazendo com que o filamento não passe por um tubo e seja diretamente impresso. Evitando assim que filamentos flexíveis não corram riscos de cisalhar ou quebrar no processo de extrusão.</t>
  </si>
  <si>
    <t>Especificação técnica:  Fonte de luz UV COB com 36 LEDs integrados, Purificador de Ar para Saída de vapores tóxicos e de mal odor no ambiente, LCD monocromático 4k, Dissipador de calor da matriz de luz UV. Tecnologia de impressão: MSLA Fonte de Luz: UV com comprimento de onda de 405nm Volume de impressão: 143 x 89,6 x 175 mm Dimensões da máquina: 227 x 227 x 438,5 mm Resolução LCD: 4098*2560 (4K) Resolução XY DPI: 0.035 mm (35 micra) Resolução eixo Z: 0.0125 mm (12,5 micra) Espessura da camada de 0.01 – 0.2 mm (ajustável) Materiais de impressão: 405nm resina fotossensível Velocidade de impressão: 50 mm/h
Fonte de alimentação: AC Input 100 - 240V I 50/60Hz Conexão: USB (Pendrive) Sistemas operacionais: Windows, Linux, MacOS Softwares de impressão: Chitubox e Lychee JUSTIFICATIVA: Equipamento para impressão com resina com tecnologia de impressão diferente da impressora de filamento FDM e SLA. A resina é liquida e é solidificada por raios UV e por isso gera impressões mais rápidas e precisas do que a FDM, mas com menor volume. Necessário para utilizar uma tecnologia de manufatura aditiva auxiliar a FDM e para a construção de peças de maior precisão do que a FDM pode realizar.</t>
  </si>
  <si>
    <t>Especificação técnica: 
Fonte de luz UV COB com 36 LEDs integrados, Purificador de Ar para Saída de vapores tóxicos e de mal odor no ambiente, LCD monocromático 4k, Dissipador de calor da matriz de luz UV. Tecnologia de impressão: MSLA Fonte de Luz: UV com comprimento de onda de 405nm Volume de impressão: 143 x 89,6 x 175 mm Dimensões da máquina: 227 x 227 x 438,5 mm
Resolução LCD: 4098*2560 (4K) Resolução XY DPI: 0.035 mm (35 micra) Resolução eixo Z: 0.0125 mm (12,5 micra) Espessura da camada de 0.01 – 0.2 mm (ajustável) Materiais de impressão: 405nm resina fotossensível Velocidade de impressão: 50 mm/h Fonte de alimentação: AC Input 100 - 240V I 50/60Hz Conexão: USB (Pendrive) Sistemas operacionais: Windows, Linux, MacOS Softwares de impressão: Chitubox e Lychee JUSTIFICATIVA:
Equipamento para impressão com resina com tecnologia de impressão diferente da impressora de filamento FDM e SLA. A resina é liquida e é solidificada por raios UV e por isso gera impressões mais rápidas e precisas do que a FDM, mas com menor volume. Necessário para utilizar uma tecnologia de manufatura aditiva auxiliar a FDM e para a construção de peças de maior precisão do que a FDM pode realizar.</t>
  </si>
  <si>
    <t>Especificação técnica: 
Fonte de luz UV COB com 36 LEDs integrados, Purificador de Ar para Saída de vapores tóxicos e de mal odor no ambiente, LCD monocromático 4k, Dissipador de calor da matriz de luz UV. Tecnologia de impressão: MSLA Fonte de Luz: UV com comprimento de onda de 405nm Volume de impressão: 143 x 89,6 x 175 mm Dimensões da máquina: 227 x 227 x 438,5 mm
Resolução LCD: 4098*2560 (4K) Resolução XY DPI: 0.035 mm (35 micra)Resolução eixo Z: 0.0125 mm (12,5 micra) Espessura da camada de 0.01 – 0.2 mm (ajustável) Materiais de impressão: 405nm resina fotossensívelVelocidade de impressão: 50 mm/h Fonte de alimentação: AC Input 100 - 240V I 50/60Hz Conexão: USB (Pendrive) Sistemas operacionais: Windows, Linux, MacOS Softwares de impressão: Chitubox e LycheeJUSTIFICATIVA:
Equipamento para impressão com resina com tecnologia de impressão diferente da impressora de filamento FDM e SLA. A resina é liquida e é solidificada por raios UV e por isso gera impressões mais rápidas e precisas do que a FDM, mas com menor volume. Necessário para utilizar uma tecnologia de manufatura aditiva auxiliar a FDM e para a construção de peças de maior precisão do que a FDM pode realizar.</t>
  </si>
  <si>
    <t>Data Emissão da Nota</t>
  </si>
  <si>
    <t>Data do Termo de Doação</t>
  </si>
  <si>
    <t>Nº Termo de Doação</t>
  </si>
  <si>
    <t>Termo de doação nº 087-2025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</si>
</sst>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name val="Calibri"/>
    </font>
    <font>
      <b/>
      <sz val="11"/>
      <color theme="0"/>
      <name val="Calibri"/>
      <family val="2"/>
    </font>
    <font>
      <b/>
      <sz val="14"/>
      <color theme="0"/>
      <name val="Calibri"/>
      <family val="2"/>
    </font>
    <font>
      <b/>
      <sz val="12"/>
      <color theme="0"/>
      <name val="Calibri"/>
      <family val="2"/>
    </font>
    <font>
      <sz val="12"/>
      <color theme="0"/>
      <name val="Calibri"/>
      <family val="2"/>
    </font>
    <font>
      <sz val="11"/>
      <name val="Calibri"/>
      <family val="2"/>
    </font>
    <font>
      <sz val="11"/>
      <color theme="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6" tint="-0.249977111117893"/>
        <bgColor indexed="64"/>
      </patternFill>
    </fill>
    <fill>
      <patternFill patternType="solid">
        <fgColor theme="9" tint="-0.49998474074526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4" fontId="0" fillId="0" borderId="1" xfId="0" applyNumberForma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4" fontId="3" fillId="2" borderId="3" xfId="0" applyNumberFormat="1" applyFont="1" applyFill="1" applyBorder="1"/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top" wrapText="1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4" fillId="2" borderId="4" xfId="0" applyFont="1" applyFill="1" applyBorder="1" applyAlignment="1">
      <alignment horizontal="center"/>
    </xf>
    <xf numFmtId="14" fontId="0" fillId="0" borderId="1" xfId="0" applyNumberFormat="1" applyBorder="1" applyAlignment="1">
      <alignment horizontal="center" vertical="center"/>
    </xf>
    <xf numFmtId="0" fontId="6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53"/>
  <sheetViews>
    <sheetView showGridLines="0" tabSelected="1" zoomScale="80" zoomScaleNormal="80" workbookViewId="0">
      <selection activeCell="C1" sqref="C1"/>
    </sheetView>
  </sheetViews>
  <sheetFormatPr defaultColWidth="15.6640625" defaultRowHeight="81.75" customHeight="1" x14ac:dyDescent="0.3"/>
  <cols>
    <col min="1" max="1" width="10.44140625" style="1" customWidth="1"/>
    <col min="2" max="2" width="15.6640625" style="1"/>
    <col min="3" max="3" width="108.21875" style="1" customWidth="1"/>
    <col min="4" max="4" width="15.6640625" style="1"/>
    <col min="5" max="5" width="10.21875" style="1" customWidth="1"/>
    <col min="6" max="6" width="15.6640625" style="1"/>
    <col min="7" max="8" width="13.44140625" style="1" customWidth="1"/>
    <col min="9" max="9" width="9.6640625" style="1" customWidth="1"/>
    <col min="10" max="10" width="10.77734375" style="1" customWidth="1"/>
    <col min="11" max="11" width="11.6640625" customWidth="1"/>
    <col min="12" max="12" width="11.109375" customWidth="1"/>
    <col min="13" max="13" width="12.5546875" customWidth="1"/>
  </cols>
  <sheetData>
    <row r="1" spans="1:13" ht="81.75" customHeight="1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39</v>
      </c>
      <c r="K1" s="4" t="s">
        <v>55</v>
      </c>
      <c r="L1" s="4" t="s">
        <v>56</v>
      </c>
      <c r="M1" s="4" t="s">
        <v>57</v>
      </c>
    </row>
    <row r="2" spans="1:13" ht="81.75" customHeight="1" x14ac:dyDescent="0.3">
      <c r="A2" s="2">
        <v>2866</v>
      </c>
      <c r="B2" s="2" t="s">
        <v>9</v>
      </c>
      <c r="C2" s="2" t="s">
        <v>10</v>
      </c>
      <c r="D2" s="3">
        <v>589</v>
      </c>
      <c r="E2" s="2">
        <v>149</v>
      </c>
      <c r="F2" s="2" t="s">
        <v>11</v>
      </c>
      <c r="G2" s="2" t="s">
        <v>12</v>
      </c>
      <c r="H2" s="2" t="s">
        <v>13</v>
      </c>
      <c r="I2" s="2" t="s">
        <v>49</v>
      </c>
      <c r="J2" s="2">
        <v>774</v>
      </c>
      <c r="K2" s="12">
        <v>45071</v>
      </c>
      <c r="L2" s="12">
        <v>46001</v>
      </c>
      <c r="M2" s="6" t="s">
        <v>58</v>
      </c>
    </row>
    <row r="3" spans="1:13" ht="81.75" customHeight="1" x14ac:dyDescent="0.3">
      <c r="A3" s="2">
        <v>2867</v>
      </c>
      <c r="B3" s="2" t="s">
        <v>16</v>
      </c>
      <c r="C3" s="2" t="s">
        <v>17</v>
      </c>
      <c r="D3" s="3">
        <v>8074</v>
      </c>
      <c r="E3" s="2">
        <v>149</v>
      </c>
      <c r="F3" s="2" t="s">
        <v>11</v>
      </c>
      <c r="G3" s="2" t="s">
        <v>12</v>
      </c>
      <c r="H3" s="2" t="s">
        <v>13</v>
      </c>
      <c r="I3" s="2" t="s">
        <v>49</v>
      </c>
      <c r="J3" s="2">
        <v>37521</v>
      </c>
      <c r="K3" s="12">
        <v>45078</v>
      </c>
      <c r="L3" s="12">
        <v>46001</v>
      </c>
      <c r="M3" s="6" t="s">
        <v>58</v>
      </c>
    </row>
    <row r="4" spans="1:13" ht="81.75" customHeight="1" x14ac:dyDescent="0.3">
      <c r="A4" s="2">
        <v>2868</v>
      </c>
      <c r="B4" s="2" t="s">
        <v>16</v>
      </c>
      <c r="C4" s="2" t="s">
        <v>17</v>
      </c>
      <c r="D4" s="3">
        <v>8074</v>
      </c>
      <c r="E4" s="2">
        <v>149</v>
      </c>
      <c r="F4" s="2" t="s">
        <v>11</v>
      </c>
      <c r="G4" s="2" t="s">
        <v>12</v>
      </c>
      <c r="H4" s="2" t="s">
        <v>13</v>
      </c>
      <c r="I4" s="2" t="s">
        <v>49</v>
      </c>
      <c r="J4" s="2">
        <v>37521</v>
      </c>
      <c r="K4" s="12">
        <v>45078</v>
      </c>
      <c r="L4" s="12">
        <v>46001</v>
      </c>
      <c r="M4" s="6" t="s">
        <v>58</v>
      </c>
    </row>
    <row r="5" spans="1:13" ht="81.75" customHeight="1" x14ac:dyDescent="0.3">
      <c r="A5" s="2">
        <v>2869</v>
      </c>
      <c r="B5" s="2" t="s">
        <v>16</v>
      </c>
      <c r="C5" s="2" t="s">
        <v>18</v>
      </c>
      <c r="D5" s="3">
        <v>2699</v>
      </c>
      <c r="E5" s="2">
        <v>149</v>
      </c>
      <c r="F5" s="2" t="s">
        <v>11</v>
      </c>
      <c r="G5" s="2" t="s">
        <v>12</v>
      </c>
      <c r="H5" s="2" t="s">
        <v>13</v>
      </c>
      <c r="I5" s="2" t="s">
        <v>49</v>
      </c>
      <c r="J5" s="2">
        <v>7045413</v>
      </c>
      <c r="K5" s="12">
        <v>45080</v>
      </c>
      <c r="L5" s="12">
        <v>46001</v>
      </c>
      <c r="M5" s="6" t="s">
        <v>58</v>
      </c>
    </row>
    <row r="6" spans="1:13" ht="81.75" customHeight="1" x14ac:dyDescent="0.3">
      <c r="A6" s="2">
        <v>2870</v>
      </c>
      <c r="B6" s="2" t="s">
        <v>16</v>
      </c>
      <c r="C6" s="2" t="s">
        <v>18</v>
      </c>
      <c r="D6" s="3">
        <v>2699</v>
      </c>
      <c r="E6" s="2">
        <v>149</v>
      </c>
      <c r="F6" s="2" t="s">
        <v>11</v>
      </c>
      <c r="G6" s="2" t="s">
        <v>12</v>
      </c>
      <c r="H6" s="2" t="s">
        <v>13</v>
      </c>
      <c r="I6" s="2" t="s">
        <v>49</v>
      </c>
      <c r="J6" s="2">
        <v>7045413</v>
      </c>
      <c r="K6" s="12">
        <v>45080</v>
      </c>
      <c r="L6" s="12">
        <v>46001</v>
      </c>
      <c r="M6" s="6" t="s">
        <v>58</v>
      </c>
    </row>
    <row r="7" spans="1:13" ht="116.4" customHeight="1" x14ac:dyDescent="0.3">
      <c r="A7" s="2">
        <v>2871</v>
      </c>
      <c r="B7" s="2" t="s">
        <v>19</v>
      </c>
      <c r="C7" s="2" t="s">
        <v>20</v>
      </c>
      <c r="D7" s="3">
        <v>3009.95</v>
      </c>
      <c r="E7" s="2">
        <v>149</v>
      </c>
      <c r="F7" s="2" t="s">
        <v>11</v>
      </c>
      <c r="G7" s="2" t="s">
        <v>12</v>
      </c>
      <c r="H7" s="2" t="s">
        <v>13</v>
      </c>
      <c r="I7" s="2" t="s">
        <v>49</v>
      </c>
      <c r="J7" s="2">
        <v>5</v>
      </c>
      <c r="K7" s="12">
        <v>45089</v>
      </c>
      <c r="L7" s="12">
        <v>46001</v>
      </c>
      <c r="M7" s="6" t="s">
        <v>58</v>
      </c>
    </row>
    <row r="8" spans="1:13" ht="81.75" customHeight="1" x14ac:dyDescent="0.3">
      <c r="A8" s="2">
        <v>2872</v>
      </c>
      <c r="B8" s="2" t="s">
        <v>21</v>
      </c>
      <c r="C8" s="2" t="s">
        <v>22</v>
      </c>
      <c r="D8" s="3">
        <v>749</v>
      </c>
      <c r="E8" s="2">
        <v>149</v>
      </c>
      <c r="F8" s="2" t="s">
        <v>11</v>
      </c>
      <c r="G8" s="2" t="s">
        <v>12</v>
      </c>
      <c r="H8" s="2" t="s">
        <v>13</v>
      </c>
      <c r="I8" s="2" t="s">
        <v>49</v>
      </c>
      <c r="J8" s="2">
        <v>1128</v>
      </c>
      <c r="K8" s="12">
        <v>45072</v>
      </c>
      <c r="L8" s="12">
        <v>46001</v>
      </c>
      <c r="M8" s="6" t="s">
        <v>58</v>
      </c>
    </row>
    <row r="9" spans="1:13" ht="81.75" customHeight="1" x14ac:dyDescent="0.3">
      <c r="A9" s="2">
        <v>2873</v>
      </c>
      <c r="B9" s="2" t="s">
        <v>23</v>
      </c>
      <c r="C9" s="2" t="s">
        <v>24</v>
      </c>
      <c r="D9" s="3">
        <v>987</v>
      </c>
      <c r="E9" s="2">
        <v>149</v>
      </c>
      <c r="F9" s="2" t="s">
        <v>11</v>
      </c>
      <c r="G9" s="2" t="s">
        <v>12</v>
      </c>
      <c r="H9" s="2" t="s">
        <v>13</v>
      </c>
      <c r="I9" s="2" t="s">
        <v>49</v>
      </c>
      <c r="J9" s="2">
        <v>1128</v>
      </c>
      <c r="K9" s="12">
        <v>45072</v>
      </c>
      <c r="L9" s="12">
        <v>46001</v>
      </c>
      <c r="M9" s="6" t="s">
        <v>58</v>
      </c>
    </row>
    <row r="10" spans="1:13" ht="186.6" customHeight="1" x14ac:dyDescent="0.3">
      <c r="A10" s="2">
        <v>2874</v>
      </c>
      <c r="B10" s="2" t="s">
        <v>25</v>
      </c>
      <c r="C10" s="6" t="s">
        <v>50</v>
      </c>
      <c r="D10" s="3">
        <v>5600</v>
      </c>
      <c r="E10" s="2">
        <v>149</v>
      </c>
      <c r="F10" s="2" t="s">
        <v>11</v>
      </c>
      <c r="G10" s="2" t="s">
        <v>12</v>
      </c>
      <c r="H10" s="2" t="s">
        <v>13</v>
      </c>
      <c r="I10" s="2" t="s">
        <v>49</v>
      </c>
      <c r="J10" s="2">
        <v>1046391</v>
      </c>
      <c r="K10" s="12">
        <v>45090</v>
      </c>
      <c r="L10" s="12">
        <v>46001</v>
      </c>
      <c r="M10" s="6" t="s">
        <v>58</v>
      </c>
    </row>
    <row r="11" spans="1:13" ht="189" customHeight="1" x14ac:dyDescent="0.3">
      <c r="A11" s="2">
        <v>2875</v>
      </c>
      <c r="B11" s="2" t="s">
        <v>25</v>
      </c>
      <c r="C11" s="7" t="s">
        <v>51</v>
      </c>
      <c r="D11" s="3">
        <v>7535.45</v>
      </c>
      <c r="E11" s="2">
        <v>149</v>
      </c>
      <c r="F11" s="2" t="s">
        <v>11</v>
      </c>
      <c r="G11" s="2" t="s">
        <v>12</v>
      </c>
      <c r="H11" s="2" t="s">
        <v>13</v>
      </c>
      <c r="I11" s="2" t="s">
        <v>49</v>
      </c>
      <c r="J11" s="2">
        <v>1046391</v>
      </c>
      <c r="K11" s="12">
        <v>45090</v>
      </c>
      <c r="L11" s="12">
        <v>46001</v>
      </c>
      <c r="M11" s="6" t="s">
        <v>58</v>
      </c>
    </row>
    <row r="12" spans="1:13" ht="171" customHeight="1" x14ac:dyDescent="0.3">
      <c r="A12" s="2">
        <v>2876</v>
      </c>
      <c r="B12" s="2" t="s">
        <v>25</v>
      </c>
      <c r="C12" s="7" t="s">
        <v>52</v>
      </c>
      <c r="D12" s="3">
        <v>2604.25</v>
      </c>
      <c r="E12" s="2">
        <v>149</v>
      </c>
      <c r="F12" s="2" t="s">
        <v>11</v>
      </c>
      <c r="G12" s="2" t="s">
        <v>12</v>
      </c>
      <c r="H12" s="2" t="s">
        <v>13</v>
      </c>
      <c r="I12" s="2" t="s">
        <v>49</v>
      </c>
      <c r="J12" s="2">
        <v>22222</v>
      </c>
      <c r="K12" s="12">
        <v>45092</v>
      </c>
      <c r="L12" s="12">
        <v>46001</v>
      </c>
      <c r="M12" s="6" t="s">
        <v>58</v>
      </c>
    </row>
    <row r="13" spans="1:13" ht="117.6" customHeight="1" x14ac:dyDescent="0.3">
      <c r="A13" s="2">
        <v>2877</v>
      </c>
      <c r="B13" s="2" t="s">
        <v>25</v>
      </c>
      <c r="C13" s="7" t="s">
        <v>53</v>
      </c>
      <c r="D13" s="3">
        <v>2604.25</v>
      </c>
      <c r="E13" s="2">
        <v>149</v>
      </c>
      <c r="F13" s="2" t="s">
        <v>11</v>
      </c>
      <c r="G13" s="2" t="s">
        <v>12</v>
      </c>
      <c r="H13" s="2" t="s">
        <v>13</v>
      </c>
      <c r="I13" s="2" t="s">
        <v>49</v>
      </c>
      <c r="J13" s="2">
        <v>22222</v>
      </c>
      <c r="K13" s="12">
        <v>45092</v>
      </c>
      <c r="L13" s="12">
        <v>46001</v>
      </c>
      <c r="M13" s="6" t="s">
        <v>58</v>
      </c>
    </row>
    <row r="14" spans="1:13" ht="81.75" customHeight="1" x14ac:dyDescent="0.3">
      <c r="A14" s="2">
        <v>2878</v>
      </c>
      <c r="B14" s="2" t="s">
        <v>27</v>
      </c>
      <c r="C14" s="2" t="s">
        <v>28</v>
      </c>
      <c r="D14" s="3">
        <v>99</v>
      </c>
      <c r="E14" s="2">
        <v>149</v>
      </c>
      <c r="F14" s="2" t="s">
        <v>11</v>
      </c>
      <c r="G14" s="2" t="s">
        <v>12</v>
      </c>
      <c r="H14" s="2" t="s">
        <v>13</v>
      </c>
      <c r="I14" s="2" t="s">
        <v>49</v>
      </c>
      <c r="J14" s="2">
        <v>1146</v>
      </c>
      <c r="K14" s="12">
        <v>45093</v>
      </c>
      <c r="L14" s="12">
        <v>46001</v>
      </c>
      <c r="M14" s="6" t="s">
        <v>58</v>
      </c>
    </row>
    <row r="15" spans="1:13" ht="81.75" customHeight="1" x14ac:dyDescent="0.3">
      <c r="A15" s="2">
        <v>2879</v>
      </c>
      <c r="B15" s="2" t="s">
        <v>27</v>
      </c>
      <c r="C15" s="2" t="s">
        <v>28</v>
      </c>
      <c r="D15" s="3">
        <v>99</v>
      </c>
      <c r="E15" s="2">
        <v>149</v>
      </c>
      <c r="F15" s="2" t="s">
        <v>11</v>
      </c>
      <c r="G15" s="2" t="s">
        <v>12</v>
      </c>
      <c r="H15" s="2" t="s">
        <v>13</v>
      </c>
      <c r="I15" s="2" t="s">
        <v>49</v>
      </c>
      <c r="J15" s="2">
        <v>1146</v>
      </c>
      <c r="K15" s="12">
        <v>45093</v>
      </c>
      <c r="L15" s="12">
        <v>46001</v>
      </c>
      <c r="M15" s="6" t="s">
        <v>58</v>
      </c>
    </row>
    <row r="16" spans="1:13" ht="81.75" customHeight="1" x14ac:dyDescent="0.3">
      <c r="A16" s="2">
        <v>2880</v>
      </c>
      <c r="B16" s="2" t="s">
        <v>27</v>
      </c>
      <c r="C16" s="2" t="s">
        <v>28</v>
      </c>
      <c r="D16" s="3">
        <v>99</v>
      </c>
      <c r="E16" s="2">
        <v>149</v>
      </c>
      <c r="F16" s="2" t="s">
        <v>11</v>
      </c>
      <c r="G16" s="2" t="s">
        <v>12</v>
      </c>
      <c r="H16" s="2" t="s">
        <v>13</v>
      </c>
      <c r="I16" s="2" t="s">
        <v>49</v>
      </c>
      <c r="J16" s="2">
        <v>1146</v>
      </c>
      <c r="K16" s="12">
        <v>45093</v>
      </c>
      <c r="L16" s="12">
        <v>46001</v>
      </c>
      <c r="M16" s="6" t="s">
        <v>58</v>
      </c>
    </row>
    <row r="17" spans="1:13" ht="81.75" customHeight="1" x14ac:dyDescent="0.3">
      <c r="A17" s="2">
        <v>2881</v>
      </c>
      <c r="B17" s="2" t="s">
        <v>29</v>
      </c>
      <c r="C17" s="2" t="s">
        <v>30</v>
      </c>
      <c r="D17" s="3">
        <v>669</v>
      </c>
      <c r="E17" s="2">
        <v>149</v>
      </c>
      <c r="F17" s="2" t="s">
        <v>11</v>
      </c>
      <c r="G17" s="2" t="s">
        <v>12</v>
      </c>
      <c r="H17" s="2" t="s">
        <v>13</v>
      </c>
      <c r="I17" s="2" t="s">
        <v>49</v>
      </c>
      <c r="J17" s="2">
        <v>1146</v>
      </c>
      <c r="K17" s="12">
        <v>45093</v>
      </c>
      <c r="L17" s="12">
        <v>46001</v>
      </c>
      <c r="M17" s="6" t="s">
        <v>58</v>
      </c>
    </row>
    <row r="18" spans="1:13" ht="81.75" customHeight="1" x14ac:dyDescent="0.3">
      <c r="A18" s="2">
        <v>2882</v>
      </c>
      <c r="B18" s="2" t="s">
        <v>29</v>
      </c>
      <c r="C18" s="2" t="s">
        <v>30</v>
      </c>
      <c r="D18" s="3">
        <v>669</v>
      </c>
      <c r="E18" s="2">
        <v>149</v>
      </c>
      <c r="F18" s="2" t="s">
        <v>11</v>
      </c>
      <c r="G18" s="2" t="s">
        <v>12</v>
      </c>
      <c r="H18" s="2" t="s">
        <v>13</v>
      </c>
      <c r="I18" s="2" t="s">
        <v>49</v>
      </c>
      <c r="J18" s="2">
        <v>1146</v>
      </c>
      <c r="K18" s="12">
        <v>45093</v>
      </c>
      <c r="L18" s="12">
        <v>46001</v>
      </c>
      <c r="M18" s="6" t="s">
        <v>58</v>
      </c>
    </row>
    <row r="19" spans="1:13" ht="81.75" customHeight="1" x14ac:dyDescent="0.3">
      <c r="A19" s="2">
        <v>2883</v>
      </c>
      <c r="B19" s="2" t="s">
        <v>31</v>
      </c>
      <c r="C19" s="2" t="s">
        <v>32</v>
      </c>
      <c r="D19" s="3">
        <v>10481.16</v>
      </c>
      <c r="E19" s="2">
        <v>149</v>
      </c>
      <c r="F19" s="2" t="s">
        <v>11</v>
      </c>
      <c r="G19" s="2" t="s">
        <v>12</v>
      </c>
      <c r="H19" s="2" t="s">
        <v>13</v>
      </c>
      <c r="I19" s="2" t="s">
        <v>49</v>
      </c>
      <c r="J19" s="2">
        <v>82</v>
      </c>
      <c r="K19" s="12">
        <v>45099</v>
      </c>
      <c r="L19" s="12">
        <v>46001</v>
      </c>
      <c r="M19" s="6" t="s">
        <v>58</v>
      </c>
    </row>
    <row r="20" spans="1:13" ht="81.75" customHeight="1" x14ac:dyDescent="0.3">
      <c r="A20" s="2">
        <v>2884</v>
      </c>
      <c r="B20" s="2" t="s">
        <v>31</v>
      </c>
      <c r="C20" s="2" t="s">
        <v>32</v>
      </c>
      <c r="D20" s="3">
        <v>10481.16</v>
      </c>
      <c r="E20" s="2">
        <v>149</v>
      </c>
      <c r="F20" s="2" t="s">
        <v>11</v>
      </c>
      <c r="G20" s="2" t="s">
        <v>12</v>
      </c>
      <c r="H20" s="2" t="s">
        <v>13</v>
      </c>
      <c r="I20" s="2" t="s">
        <v>49</v>
      </c>
      <c r="J20" s="2">
        <v>82</v>
      </c>
      <c r="K20" s="12">
        <v>45099</v>
      </c>
      <c r="L20" s="12">
        <v>46001</v>
      </c>
      <c r="M20" s="6" t="s">
        <v>58</v>
      </c>
    </row>
    <row r="21" spans="1:13" ht="81.75" customHeight="1" x14ac:dyDescent="0.3">
      <c r="A21" s="2">
        <v>2885</v>
      </c>
      <c r="B21" s="2" t="s">
        <v>31</v>
      </c>
      <c r="C21" s="2" t="s">
        <v>32</v>
      </c>
      <c r="D21" s="3">
        <v>10481.16</v>
      </c>
      <c r="E21" s="2">
        <v>149</v>
      </c>
      <c r="F21" s="2" t="s">
        <v>11</v>
      </c>
      <c r="G21" s="2" t="s">
        <v>12</v>
      </c>
      <c r="H21" s="2" t="s">
        <v>13</v>
      </c>
      <c r="I21" s="2" t="s">
        <v>49</v>
      </c>
      <c r="J21" s="2">
        <v>82</v>
      </c>
      <c r="K21" s="12">
        <v>45099</v>
      </c>
      <c r="L21" s="12">
        <v>46001</v>
      </c>
      <c r="M21" s="6" t="s">
        <v>58</v>
      </c>
    </row>
    <row r="22" spans="1:13" ht="81.75" customHeight="1" x14ac:dyDescent="0.3">
      <c r="A22" s="2">
        <v>2886</v>
      </c>
      <c r="B22" s="2" t="s">
        <v>31</v>
      </c>
      <c r="C22" s="2" t="s">
        <v>32</v>
      </c>
      <c r="D22" s="3">
        <v>10481.16</v>
      </c>
      <c r="E22" s="2">
        <v>149</v>
      </c>
      <c r="F22" s="2" t="s">
        <v>11</v>
      </c>
      <c r="G22" s="2" t="s">
        <v>12</v>
      </c>
      <c r="H22" s="2" t="s">
        <v>13</v>
      </c>
      <c r="I22" s="2" t="s">
        <v>49</v>
      </c>
      <c r="J22" s="2">
        <v>82</v>
      </c>
      <c r="K22" s="12">
        <v>45099</v>
      </c>
      <c r="L22" s="12">
        <v>46001</v>
      </c>
      <c r="M22" s="6" t="s">
        <v>58</v>
      </c>
    </row>
    <row r="23" spans="1:13" ht="81.75" customHeight="1" x14ac:dyDescent="0.3">
      <c r="A23" s="2">
        <v>2887</v>
      </c>
      <c r="B23" s="2" t="s">
        <v>31</v>
      </c>
      <c r="C23" s="2" t="s">
        <v>32</v>
      </c>
      <c r="D23" s="3">
        <v>10481.16</v>
      </c>
      <c r="E23" s="2">
        <v>149</v>
      </c>
      <c r="F23" s="2" t="s">
        <v>11</v>
      </c>
      <c r="G23" s="2" t="s">
        <v>12</v>
      </c>
      <c r="H23" s="2" t="s">
        <v>13</v>
      </c>
      <c r="I23" s="2" t="s">
        <v>49</v>
      </c>
      <c r="J23" s="2">
        <v>82</v>
      </c>
      <c r="K23" s="12">
        <v>45099</v>
      </c>
      <c r="L23" s="12">
        <v>46001</v>
      </c>
      <c r="M23" s="6" t="s">
        <v>58</v>
      </c>
    </row>
    <row r="24" spans="1:13" ht="81.75" customHeight="1" x14ac:dyDescent="0.3">
      <c r="A24" s="2">
        <v>2888</v>
      </c>
      <c r="B24" s="2" t="s">
        <v>31</v>
      </c>
      <c r="C24" s="2" t="s">
        <v>32</v>
      </c>
      <c r="D24" s="3">
        <v>10481.16</v>
      </c>
      <c r="E24" s="2">
        <v>149</v>
      </c>
      <c r="F24" s="2" t="s">
        <v>11</v>
      </c>
      <c r="G24" s="2" t="s">
        <v>12</v>
      </c>
      <c r="H24" s="2" t="s">
        <v>13</v>
      </c>
      <c r="I24" s="2" t="s">
        <v>49</v>
      </c>
      <c r="J24" s="2">
        <v>82</v>
      </c>
      <c r="K24" s="12">
        <v>45099</v>
      </c>
      <c r="L24" s="12">
        <v>46001</v>
      </c>
      <c r="M24" s="6" t="s">
        <v>58</v>
      </c>
    </row>
    <row r="25" spans="1:13" ht="81.75" customHeight="1" x14ac:dyDescent="0.3">
      <c r="A25" s="2">
        <v>2889</v>
      </c>
      <c r="B25" s="2" t="s">
        <v>31</v>
      </c>
      <c r="C25" s="2" t="s">
        <v>32</v>
      </c>
      <c r="D25" s="3">
        <v>10481.16</v>
      </c>
      <c r="E25" s="2">
        <v>149</v>
      </c>
      <c r="F25" s="2" t="s">
        <v>11</v>
      </c>
      <c r="G25" s="2" t="s">
        <v>12</v>
      </c>
      <c r="H25" s="2" t="s">
        <v>13</v>
      </c>
      <c r="I25" s="2" t="s">
        <v>49</v>
      </c>
      <c r="J25" s="2">
        <v>82</v>
      </c>
      <c r="K25" s="12">
        <v>45099</v>
      </c>
      <c r="L25" s="12">
        <v>46001</v>
      </c>
      <c r="M25" s="6" t="s">
        <v>58</v>
      </c>
    </row>
    <row r="26" spans="1:13" ht="81.75" customHeight="1" x14ac:dyDescent="0.3">
      <c r="A26" s="2">
        <v>2890</v>
      </c>
      <c r="B26" s="2" t="s">
        <v>31</v>
      </c>
      <c r="C26" s="2" t="s">
        <v>32</v>
      </c>
      <c r="D26" s="3">
        <v>10481.16</v>
      </c>
      <c r="E26" s="2">
        <v>149</v>
      </c>
      <c r="F26" s="2" t="s">
        <v>11</v>
      </c>
      <c r="G26" s="2" t="s">
        <v>12</v>
      </c>
      <c r="H26" s="2" t="s">
        <v>13</v>
      </c>
      <c r="I26" s="2" t="s">
        <v>49</v>
      </c>
      <c r="J26" s="2">
        <v>82</v>
      </c>
      <c r="K26" s="12">
        <v>45099</v>
      </c>
      <c r="L26" s="12">
        <v>46001</v>
      </c>
      <c r="M26" s="6" t="s">
        <v>58</v>
      </c>
    </row>
    <row r="27" spans="1:13" ht="81.75" customHeight="1" x14ac:dyDescent="0.3">
      <c r="A27" s="2">
        <v>2891</v>
      </c>
      <c r="B27" s="2" t="s">
        <v>31</v>
      </c>
      <c r="C27" s="2" t="s">
        <v>32</v>
      </c>
      <c r="D27" s="3">
        <v>10481.16</v>
      </c>
      <c r="E27" s="2">
        <v>149</v>
      </c>
      <c r="F27" s="2" t="s">
        <v>11</v>
      </c>
      <c r="G27" s="2" t="s">
        <v>12</v>
      </c>
      <c r="H27" s="2" t="s">
        <v>13</v>
      </c>
      <c r="I27" s="2" t="s">
        <v>49</v>
      </c>
      <c r="J27" s="2">
        <v>82</v>
      </c>
      <c r="K27" s="12">
        <v>45099</v>
      </c>
      <c r="L27" s="12">
        <v>46001</v>
      </c>
      <c r="M27" s="6" t="s">
        <v>58</v>
      </c>
    </row>
    <row r="28" spans="1:13" ht="183" customHeight="1" x14ac:dyDescent="0.3">
      <c r="A28" s="2">
        <v>2892</v>
      </c>
      <c r="B28" s="2" t="s">
        <v>31</v>
      </c>
      <c r="C28" s="2" t="s">
        <v>32</v>
      </c>
      <c r="D28" s="3">
        <v>10481.16</v>
      </c>
      <c r="E28" s="2">
        <v>149</v>
      </c>
      <c r="F28" s="2" t="s">
        <v>11</v>
      </c>
      <c r="G28" s="2" t="s">
        <v>12</v>
      </c>
      <c r="H28" s="2" t="s">
        <v>13</v>
      </c>
      <c r="I28" s="2" t="s">
        <v>49</v>
      </c>
      <c r="J28" s="2">
        <v>82</v>
      </c>
      <c r="K28" s="12">
        <v>45099</v>
      </c>
      <c r="L28" s="12">
        <v>46001</v>
      </c>
      <c r="M28" s="6" t="s">
        <v>58</v>
      </c>
    </row>
    <row r="29" spans="1:13" ht="81.75" customHeight="1" x14ac:dyDescent="0.3">
      <c r="A29" s="2">
        <v>2893</v>
      </c>
      <c r="B29" s="2" t="s">
        <v>33</v>
      </c>
      <c r="C29" s="2" t="s">
        <v>34</v>
      </c>
      <c r="D29" s="3">
        <v>304</v>
      </c>
      <c r="E29" s="2">
        <v>149</v>
      </c>
      <c r="F29" s="2" t="s">
        <v>11</v>
      </c>
      <c r="G29" s="2" t="s">
        <v>12</v>
      </c>
      <c r="H29" s="2" t="s">
        <v>13</v>
      </c>
      <c r="I29" s="2" t="s">
        <v>49</v>
      </c>
      <c r="J29" s="2">
        <v>85</v>
      </c>
      <c r="K29" s="12">
        <v>45106</v>
      </c>
      <c r="L29" s="12">
        <v>46001</v>
      </c>
      <c r="M29" s="6" t="s">
        <v>58</v>
      </c>
    </row>
    <row r="30" spans="1:13" ht="81.75" customHeight="1" x14ac:dyDescent="0.3">
      <c r="A30" s="2">
        <v>2894</v>
      </c>
      <c r="B30" s="2" t="s">
        <v>35</v>
      </c>
      <c r="C30" s="2" t="s">
        <v>36</v>
      </c>
      <c r="D30" s="3">
        <v>208</v>
      </c>
      <c r="E30" s="2">
        <v>149</v>
      </c>
      <c r="F30" s="2" t="s">
        <v>11</v>
      </c>
      <c r="G30" s="2" t="s">
        <v>12</v>
      </c>
      <c r="H30" s="2" t="s">
        <v>13</v>
      </c>
      <c r="I30" s="2" t="s">
        <v>49</v>
      </c>
      <c r="J30" s="2">
        <v>85</v>
      </c>
      <c r="K30" s="12">
        <v>45106</v>
      </c>
      <c r="L30" s="12">
        <v>46001</v>
      </c>
      <c r="M30" s="6" t="s">
        <v>58</v>
      </c>
    </row>
    <row r="31" spans="1:13" ht="176.4" customHeight="1" x14ac:dyDescent="0.3">
      <c r="A31" s="2">
        <v>2895</v>
      </c>
      <c r="B31" s="2" t="s">
        <v>25</v>
      </c>
      <c r="C31" s="7" t="s">
        <v>54</v>
      </c>
      <c r="D31" s="3">
        <v>2604.25</v>
      </c>
      <c r="E31" s="2">
        <v>149</v>
      </c>
      <c r="F31" s="2" t="s">
        <v>11</v>
      </c>
      <c r="G31" s="2" t="s">
        <v>12</v>
      </c>
      <c r="H31" s="2" t="s">
        <v>13</v>
      </c>
      <c r="I31" s="2" t="s">
        <v>49</v>
      </c>
      <c r="J31" s="2">
        <v>22222</v>
      </c>
      <c r="K31" s="12">
        <v>45092</v>
      </c>
      <c r="L31" s="12">
        <v>46001</v>
      </c>
      <c r="M31" s="6" t="s">
        <v>58</v>
      </c>
    </row>
    <row r="32" spans="1:13" ht="81.75" customHeight="1" x14ac:dyDescent="0.3">
      <c r="A32" s="2">
        <v>2896</v>
      </c>
      <c r="B32" s="2" t="s">
        <v>25</v>
      </c>
      <c r="C32" s="2" t="s">
        <v>26</v>
      </c>
      <c r="D32" s="3">
        <v>2604.25</v>
      </c>
      <c r="E32" s="2">
        <v>149</v>
      </c>
      <c r="F32" s="2" t="s">
        <v>11</v>
      </c>
      <c r="G32" s="2" t="s">
        <v>12</v>
      </c>
      <c r="H32" s="2" t="s">
        <v>13</v>
      </c>
      <c r="I32" s="2" t="s">
        <v>49</v>
      </c>
      <c r="J32" s="2">
        <v>22222</v>
      </c>
      <c r="K32" s="12">
        <v>45092</v>
      </c>
      <c r="L32" s="12">
        <v>46001</v>
      </c>
      <c r="M32" s="6" t="s">
        <v>58</v>
      </c>
    </row>
    <row r="33" spans="1:13" ht="81.75" customHeight="1" x14ac:dyDescent="0.3">
      <c r="A33" s="2">
        <v>2897</v>
      </c>
      <c r="B33" s="2" t="s">
        <v>37</v>
      </c>
      <c r="C33" s="2" t="s">
        <v>38</v>
      </c>
      <c r="D33" s="3">
        <v>595</v>
      </c>
      <c r="E33" s="2">
        <v>149</v>
      </c>
      <c r="F33" s="2" t="s">
        <v>11</v>
      </c>
      <c r="G33" s="2" t="s">
        <v>12</v>
      </c>
      <c r="H33" s="2" t="s">
        <v>13</v>
      </c>
      <c r="I33" s="2" t="s">
        <v>49</v>
      </c>
      <c r="J33" s="2">
        <v>220</v>
      </c>
      <c r="K33" s="12">
        <v>45106</v>
      </c>
      <c r="L33" s="12">
        <v>46001</v>
      </c>
      <c r="M33" s="6" t="s">
        <v>58</v>
      </c>
    </row>
    <row r="34" spans="1:13" ht="81.75" customHeight="1" x14ac:dyDescent="0.3">
      <c r="A34" s="2">
        <v>2898</v>
      </c>
      <c r="B34" s="2" t="s">
        <v>37</v>
      </c>
      <c r="C34" s="2" t="s">
        <v>38</v>
      </c>
      <c r="D34" s="3">
        <v>595</v>
      </c>
      <c r="E34" s="2">
        <v>149</v>
      </c>
      <c r="F34" s="2" t="s">
        <v>11</v>
      </c>
      <c r="G34" s="2" t="s">
        <v>12</v>
      </c>
      <c r="H34" s="2" t="s">
        <v>13</v>
      </c>
      <c r="I34" s="2" t="s">
        <v>49</v>
      </c>
      <c r="J34" s="2">
        <v>220</v>
      </c>
      <c r="K34" s="12">
        <v>45106</v>
      </c>
      <c r="L34" s="12">
        <v>46001</v>
      </c>
      <c r="M34" s="6" t="s">
        <v>58</v>
      </c>
    </row>
    <row r="35" spans="1:13" ht="81.75" customHeight="1" x14ac:dyDescent="0.3">
      <c r="A35" s="2">
        <v>2899</v>
      </c>
      <c r="B35" s="2" t="s">
        <v>37</v>
      </c>
      <c r="C35" s="2" t="s">
        <v>38</v>
      </c>
      <c r="D35" s="3">
        <v>595</v>
      </c>
      <c r="E35" s="2">
        <v>149</v>
      </c>
      <c r="F35" s="2" t="s">
        <v>11</v>
      </c>
      <c r="G35" s="2" t="s">
        <v>12</v>
      </c>
      <c r="H35" s="2" t="s">
        <v>13</v>
      </c>
      <c r="I35" s="2" t="s">
        <v>49</v>
      </c>
      <c r="J35" s="2">
        <v>220</v>
      </c>
      <c r="K35" s="12">
        <v>45106</v>
      </c>
      <c r="L35" s="12">
        <v>46001</v>
      </c>
      <c r="M35" s="6" t="s">
        <v>58</v>
      </c>
    </row>
    <row r="36" spans="1:13" ht="81.75" customHeight="1" x14ac:dyDescent="0.3">
      <c r="A36" s="2">
        <v>2900</v>
      </c>
      <c r="B36" s="2" t="s">
        <v>37</v>
      </c>
      <c r="C36" s="2" t="s">
        <v>38</v>
      </c>
      <c r="D36" s="3">
        <v>595</v>
      </c>
      <c r="E36" s="2">
        <v>149</v>
      </c>
      <c r="F36" s="2" t="s">
        <v>11</v>
      </c>
      <c r="G36" s="2" t="s">
        <v>12</v>
      </c>
      <c r="H36" s="2" t="s">
        <v>13</v>
      </c>
      <c r="I36" s="2" t="s">
        <v>49</v>
      </c>
      <c r="J36" s="2">
        <v>220</v>
      </c>
      <c r="K36" s="12">
        <v>45106</v>
      </c>
      <c r="L36" s="12">
        <v>46001</v>
      </c>
      <c r="M36" s="6" t="s">
        <v>58</v>
      </c>
    </row>
    <row r="37" spans="1:13" ht="81.75" customHeight="1" x14ac:dyDescent="0.3">
      <c r="A37" s="2">
        <v>2901</v>
      </c>
      <c r="B37" s="2" t="s">
        <v>37</v>
      </c>
      <c r="C37" s="2" t="s">
        <v>38</v>
      </c>
      <c r="D37" s="3">
        <v>595</v>
      </c>
      <c r="E37" s="2">
        <v>149</v>
      </c>
      <c r="F37" s="2" t="s">
        <v>11</v>
      </c>
      <c r="G37" s="2" t="s">
        <v>12</v>
      </c>
      <c r="H37" s="2" t="s">
        <v>13</v>
      </c>
      <c r="I37" s="2" t="s">
        <v>49</v>
      </c>
      <c r="J37" s="2">
        <v>220</v>
      </c>
      <c r="K37" s="12">
        <v>45106</v>
      </c>
      <c r="L37" s="12">
        <v>46001</v>
      </c>
      <c r="M37" s="6" t="s">
        <v>58</v>
      </c>
    </row>
    <row r="38" spans="1:13" ht="81.75" customHeight="1" x14ac:dyDescent="0.3">
      <c r="A38" s="2">
        <v>2902</v>
      </c>
      <c r="B38" s="2" t="s">
        <v>37</v>
      </c>
      <c r="C38" s="2" t="s">
        <v>38</v>
      </c>
      <c r="D38" s="3">
        <v>595</v>
      </c>
      <c r="E38" s="2">
        <v>149</v>
      </c>
      <c r="F38" s="2" t="s">
        <v>11</v>
      </c>
      <c r="G38" s="2" t="s">
        <v>12</v>
      </c>
      <c r="H38" s="2" t="s">
        <v>13</v>
      </c>
      <c r="I38" s="2" t="s">
        <v>49</v>
      </c>
      <c r="J38" s="2">
        <v>220</v>
      </c>
      <c r="K38" s="12">
        <v>45106</v>
      </c>
      <c r="L38" s="12">
        <v>46001</v>
      </c>
      <c r="M38" s="6" t="s">
        <v>58</v>
      </c>
    </row>
    <row r="39" spans="1:13" ht="81.75" customHeight="1" x14ac:dyDescent="0.3">
      <c r="A39" s="2">
        <v>2903</v>
      </c>
      <c r="B39" s="2" t="s">
        <v>37</v>
      </c>
      <c r="C39" s="2" t="s">
        <v>38</v>
      </c>
      <c r="D39" s="3">
        <v>595</v>
      </c>
      <c r="E39" s="2">
        <v>149</v>
      </c>
      <c r="F39" s="2" t="s">
        <v>11</v>
      </c>
      <c r="G39" s="2" t="s">
        <v>12</v>
      </c>
      <c r="H39" s="2" t="s">
        <v>13</v>
      </c>
      <c r="I39" s="2" t="s">
        <v>49</v>
      </c>
      <c r="J39" s="2">
        <v>220</v>
      </c>
      <c r="K39" s="12">
        <v>45106</v>
      </c>
      <c r="L39" s="12">
        <v>46001</v>
      </c>
      <c r="M39" s="6" t="s">
        <v>58</v>
      </c>
    </row>
    <row r="40" spans="1:13" ht="81.75" customHeight="1" x14ac:dyDescent="0.3">
      <c r="A40" s="2">
        <v>2904</v>
      </c>
      <c r="B40" s="2" t="s">
        <v>37</v>
      </c>
      <c r="C40" s="2" t="s">
        <v>38</v>
      </c>
      <c r="D40" s="3">
        <v>595</v>
      </c>
      <c r="E40" s="2">
        <v>149</v>
      </c>
      <c r="F40" s="2" t="s">
        <v>11</v>
      </c>
      <c r="G40" s="2" t="s">
        <v>12</v>
      </c>
      <c r="H40" s="2" t="s">
        <v>13</v>
      </c>
      <c r="I40" s="2" t="s">
        <v>49</v>
      </c>
      <c r="J40" s="2">
        <v>220</v>
      </c>
      <c r="K40" s="12">
        <v>45106</v>
      </c>
      <c r="L40" s="12">
        <v>46001</v>
      </c>
      <c r="M40" s="6" t="s">
        <v>58</v>
      </c>
    </row>
    <row r="41" spans="1:13" ht="81.75" customHeight="1" x14ac:dyDescent="0.3">
      <c r="A41" s="2">
        <v>2905</v>
      </c>
      <c r="B41" s="2" t="s">
        <v>37</v>
      </c>
      <c r="C41" s="2" t="s">
        <v>38</v>
      </c>
      <c r="D41" s="3">
        <v>595</v>
      </c>
      <c r="E41" s="2">
        <v>149</v>
      </c>
      <c r="F41" s="2" t="s">
        <v>11</v>
      </c>
      <c r="G41" s="2" t="s">
        <v>12</v>
      </c>
      <c r="H41" s="2" t="s">
        <v>13</v>
      </c>
      <c r="I41" s="2" t="s">
        <v>49</v>
      </c>
      <c r="J41" s="2">
        <v>220</v>
      </c>
      <c r="K41" s="12">
        <v>45106</v>
      </c>
      <c r="L41" s="12">
        <v>46001</v>
      </c>
      <c r="M41" s="6" t="s">
        <v>58</v>
      </c>
    </row>
    <row r="42" spans="1:13" ht="81.75" customHeight="1" x14ac:dyDescent="0.3">
      <c r="A42" s="2">
        <v>2906</v>
      </c>
      <c r="B42" s="2" t="s">
        <v>37</v>
      </c>
      <c r="C42" s="2" t="s">
        <v>38</v>
      </c>
      <c r="D42" s="3">
        <v>595</v>
      </c>
      <c r="E42" s="2">
        <v>149</v>
      </c>
      <c r="F42" s="2" t="s">
        <v>11</v>
      </c>
      <c r="G42" s="2" t="s">
        <v>12</v>
      </c>
      <c r="H42" s="2" t="s">
        <v>13</v>
      </c>
      <c r="I42" s="2" t="s">
        <v>49</v>
      </c>
      <c r="J42" s="2">
        <v>220</v>
      </c>
      <c r="K42" s="12">
        <v>45106</v>
      </c>
      <c r="L42" s="12">
        <v>46001</v>
      </c>
      <c r="M42" s="6" t="s">
        <v>58</v>
      </c>
    </row>
    <row r="43" spans="1:13" ht="81.75" customHeight="1" x14ac:dyDescent="0.3">
      <c r="A43" s="2">
        <v>2907</v>
      </c>
      <c r="B43" s="2" t="s">
        <v>14</v>
      </c>
      <c r="C43" s="2" t="s">
        <v>15</v>
      </c>
      <c r="D43" s="2">
        <v>442.86</v>
      </c>
      <c r="E43" s="2">
        <v>149</v>
      </c>
      <c r="F43" s="2" t="s">
        <v>11</v>
      </c>
      <c r="G43" s="2" t="s">
        <v>12</v>
      </c>
      <c r="H43" s="2" t="s">
        <v>13</v>
      </c>
      <c r="I43" s="2" t="s">
        <v>49</v>
      </c>
      <c r="J43" s="2">
        <v>82</v>
      </c>
      <c r="K43" s="12">
        <v>45072</v>
      </c>
      <c r="L43" s="12">
        <v>46001</v>
      </c>
      <c r="M43" s="6" t="s">
        <v>58</v>
      </c>
    </row>
    <row r="44" spans="1:13" ht="81.75" customHeight="1" x14ac:dyDescent="0.3">
      <c r="A44" s="2">
        <v>2908</v>
      </c>
      <c r="B44" s="2" t="s">
        <v>14</v>
      </c>
      <c r="C44" s="2" t="s">
        <v>15</v>
      </c>
      <c r="D44" s="2">
        <v>442.86</v>
      </c>
      <c r="E44" s="2">
        <v>149</v>
      </c>
      <c r="F44" s="2" t="s">
        <v>11</v>
      </c>
      <c r="G44" s="2" t="s">
        <v>12</v>
      </c>
      <c r="H44" s="2" t="s">
        <v>13</v>
      </c>
      <c r="I44" s="2" t="s">
        <v>49</v>
      </c>
      <c r="J44" s="2">
        <v>82</v>
      </c>
      <c r="K44" s="12">
        <v>45072</v>
      </c>
      <c r="L44" s="12">
        <v>46001</v>
      </c>
      <c r="M44" s="6" t="s">
        <v>58</v>
      </c>
    </row>
    <row r="45" spans="1:13" ht="81.75" customHeight="1" x14ac:dyDescent="0.3">
      <c r="A45" s="2">
        <v>2909</v>
      </c>
      <c r="B45" s="2" t="s">
        <v>14</v>
      </c>
      <c r="C45" s="2" t="s">
        <v>15</v>
      </c>
      <c r="D45" s="2">
        <v>442.86</v>
      </c>
      <c r="E45" s="2">
        <v>149</v>
      </c>
      <c r="F45" s="2" t="s">
        <v>11</v>
      </c>
      <c r="G45" s="2" t="s">
        <v>12</v>
      </c>
      <c r="H45" s="2" t="s">
        <v>13</v>
      </c>
      <c r="I45" s="2" t="s">
        <v>49</v>
      </c>
      <c r="J45" s="2">
        <v>82</v>
      </c>
      <c r="K45" s="12">
        <v>45072</v>
      </c>
      <c r="L45" s="12">
        <v>46001</v>
      </c>
      <c r="M45" s="6" t="s">
        <v>58</v>
      </c>
    </row>
    <row r="46" spans="1:13" ht="81.75" customHeight="1" x14ac:dyDescent="0.3">
      <c r="A46" s="2">
        <v>2910</v>
      </c>
      <c r="B46" s="2" t="s">
        <v>14</v>
      </c>
      <c r="C46" s="2" t="s">
        <v>15</v>
      </c>
      <c r="D46" s="2">
        <v>442.86</v>
      </c>
      <c r="E46" s="2">
        <v>149</v>
      </c>
      <c r="F46" s="2" t="s">
        <v>11</v>
      </c>
      <c r="G46" s="2" t="s">
        <v>12</v>
      </c>
      <c r="H46" s="2" t="s">
        <v>13</v>
      </c>
      <c r="I46" s="2" t="s">
        <v>49</v>
      </c>
      <c r="J46" s="2">
        <v>82</v>
      </c>
      <c r="K46" s="12">
        <v>45072</v>
      </c>
      <c r="L46" s="12">
        <v>46001</v>
      </c>
      <c r="M46" s="6" t="s">
        <v>58</v>
      </c>
    </row>
    <row r="47" spans="1:13" ht="81.75" customHeight="1" x14ac:dyDescent="0.3">
      <c r="A47" s="2">
        <v>2911</v>
      </c>
      <c r="B47" s="2" t="s">
        <v>40</v>
      </c>
      <c r="C47" s="2" t="s">
        <v>41</v>
      </c>
      <c r="D47" s="2">
        <v>636.86</v>
      </c>
      <c r="E47" s="2">
        <v>149</v>
      </c>
      <c r="F47" s="2" t="s">
        <v>11</v>
      </c>
      <c r="G47" s="2" t="s">
        <v>12</v>
      </c>
      <c r="H47" s="2" t="s">
        <v>13</v>
      </c>
      <c r="I47" s="2" t="s">
        <v>49</v>
      </c>
      <c r="J47" s="2">
        <v>82</v>
      </c>
      <c r="K47" s="12">
        <v>45072</v>
      </c>
      <c r="L47" s="12">
        <v>46001</v>
      </c>
      <c r="M47" s="6" t="s">
        <v>58</v>
      </c>
    </row>
    <row r="48" spans="1:13" ht="81.75" customHeight="1" x14ac:dyDescent="0.3">
      <c r="A48" s="2">
        <v>2912</v>
      </c>
      <c r="B48" s="2" t="s">
        <v>42</v>
      </c>
      <c r="C48" s="2" t="s">
        <v>43</v>
      </c>
      <c r="D48" s="2">
        <v>399</v>
      </c>
      <c r="E48" s="2">
        <v>149</v>
      </c>
      <c r="F48" s="2" t="s">
        <v>11</v>
      </c>
      <c r="G48" s="2" t="s">
        <v>12</v>
      </c>
      <c r="H48" s="2" t="s">
        <v>13</v>
      </c>
      <c r="I48" s="2" t="s">
        <v>49</v>
      </c>
      <c r="J48" s="2">
        <v>82</v>
      </c>
      <c r="K48" s="12">
        <v>45072</v>
      </c>
      <c r="L48" s="12">
        <v>46001</v>
      </c>
      <c r="M48" s="6" t="s">
        <v>58</v>
      </c>
    </row>
    <row r="49" spans="1:13" ht="81.75" customHeight="1" x14ac:dyDescent="0.3">
      <c r="A49" s="2">
        <v>2913</v>
      </c>
      <c r="B49" s="2" t="s">
        <v>25</v>
      </c>
      <c r="C49" s="2" t="s">
        <v>26</v>
      </c>
      <c r="D49" s="3">
        <v>2604.25</v>
      </c>
      <c r="E49" s="2">
        <v>149</v>
      </c>
      <c r="F49" s="2" t="s">
        <v>11</v>
      </c>
      <c r="G49" s="2" t="s">
        <v>12</v>
      </c>
      <c r="H49" s="2" t="s">
        <v>13</v>
      </c>
      <c r="I49" s="2" t="s">
        <v>49</v>
      </c>
      <c r="J49" s="2">
        <v>22222</v>
      </c>
      <c r="K49" s="12">
        <v>45092</v>
      </c>
      <c r="L49" s="12">
        <v>46001</v>
      </c>
      <c r="M49" s="6" t="s">
        <v>58</v>
      </c>
    </row>
    <row r="50" spans="1:13" ht="67.8" customHeight="1" x14ac:dyDescent="0.3">
      <c r="A50" s="2">
        <v>2914</v>
      </c>
      <c r="B50" s="2" t="s">
        <v>44</v>
      </c>
      <c r="C50" s="2" t="s">
        <v>45</v>
      </c>
      <c r="D50" s="3">
        <v>6194.25</v>
      </c>
      <c r="E50" s="2">
        <v>149</v>
      </c>
      <c r="F50" s="2" t="s">
        <v>11</v>
      </c>
      <c r="G50" s="2" t="s">
        <v>12</v>
      </c>
      <c r="H50" s="2" t="s">
        <v>13</v>
      </c>
      <c r="I50" s="2" t="s">
        <v>49</v>
      </c>
      <c r="J50" s="2">
        <v>22222</v>
      </c>
      <c r="K50" s="12">
        <v>45092</v>
      </c>
      <c r="L50" s="12">
        <v>46001</v>
      </c>
      <c r="M50" s="6" t="s">
        <v>58</v>
      </c>
    </row>
    <row r="51" spans="1:13" ht="63.6" customHeight="1" x14ac:dyDescent="0.3">
      <c r="A51" s="2">
        <v>2915</v>
      </c>
      <c r="B51" s="2" t="s">
        <v>46</v>
      </c>
      <c r="C51" s="2" t="s">
        <v>47</v>
      </c>
      <c r="D51" s="2">
        <v>1413.25</v>
      </c>
      <c r="E51" s="2">
        <v>149</v>
      </c>
      <c r="F51" s="2" t="s">
        <v>11</v>
      </c>
      <c r="G51" s="2" t="s">
        <v>12</v>
      </c>
      <c r="H51" s="2" t="s">
        <v>13</v>
      </c>
      <c r="I51" s="2" t="s">
        <v>49</v>
      </c>
      <c r="J51" s="2">
        <v>2639</v>
      </c>
      <c r="K51" s="12">
        <v>45089</v>
      </c>
      <c r="L51" s="12">
        <v>46001</v>
      </c>
      <c r="M51" s="6" t="s">
        <v>58</v>
      </c>
    </row>
    <row r="52" spans="1:13" ht="55.2" customHeight="1" x14ac:dyDescent="0.3">
      <c r="A52" s="2">
        <v>2916</v>
      </c>
      <c r="B52" s="2" t="s">
        <v>46</v>
      </c>
      <c r="C52" s="2" t="s">
        <v>47</v>
      </c>
      <c r="D52" s="2">
        <v>1413.25</v>
      </c>
      <c r="E52" s="2">
        <v>149</v>
      </c>
      <c r="F52" s="2" t="s">
        <v>11</v>
      </c>
      <c r="G52" s="2" t="s">
        <v>12</v>
      </c>
      <c r="H52" s="2" t="s">
        <v>13</v>
      </c>
      <c r="I52" s="2" t="s">
        <v>49</v>
      </c>
      <c r="J52" s="2">
        <v>2639</v>
      </c>
      <c r="K52" s="12">
        <v>45089</v>
      </c>
      <c r="L52" s="12">
        <v>46001</v>
      </c>
      <c r="M52" s="6" t="s">
        <v>58</v>
      </c>
    </row>
    <row r="53" spans="1:13" ht="18.600000000000001" thickBot="1" x14ac:dyDescent="0.4">
      <c r="A53" s="8" t="s">
        <v>48</v>
      </c>
      <c r="B53" s="9"/>
      <c r="C53" s="9"/>
      <c r="D53" s="5">
        <f>SUM(D2:D52)</f>
        <v>177774.29999999996</v>
      </c>
      <c r="E53" s="10"/>
      <c r="F53" s="10"/>
      <c r="G53" s="10"/>
      <c r="H53" s="10"/>
      <c r="I53" s="10"/>
      <c r="J53" s="11"/>
      <c r="K53" s="13"/>
      <c r="L53" s="13"/>
      <c r="M53" s="13"/>
    </row>
  </sheetData>
  <autoFilter ref="A1:J52" xr:uid="{00000000-0001-0000-0000-000000000000}"/>
  <mergeCells count="2">
    <mergeCell ref="A53:C53"/>
    <mergeCell ref="E53:J53"/>
  </mergeCells>
  <pageMargins left="0.11811023622047245" right="0.11811023622047245" top="0.39370078740157483" bottom="0.39370078740157483" header="0.31496062992125984" footer="0.31496062992125984"/>
  <pageSetup paperSize="9" scale="48" orientation="landscape" r:id="rId1"/>
  <headerFooter>
    <oddFooter>Página &amp;P de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2</vt:i4>
      </vt:variant>
    </vt:vector>
  </HeadingPairs>
  <TitlesOfParts>
    <vt:vector size="3" baseType="lpstr">
      <vt:lpstr>Relatório</vt:lpstr>
      <vt:lpstr>Relatório!Area_de_impressao</vt:lpstr>
      <vt:lpstr>Relatório!Titulos_de_impressao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João Melo</dc:creator>
  <cp:lastModifiedBy>Raymisson Pereira Mendes</cp:lastModifiedBy>
  <cp:lastPrinted>2025-12-12T13:38:28Z</cp:lastPrinted>
  <dcterms:created xsi:type="dcterms:W3CDTF">2025-12-11T23:08:03Z</dcterms:created>
  <dcterms:modified xsi:type="dcterms:W3CDTF">2025-12-24T15:46:54Z</dcterms:modified>
</cp:coreProperties>
</file>